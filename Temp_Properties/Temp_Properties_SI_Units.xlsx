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mfree_iwf_ul_cut_refine_windows_ver\Temp_Properties\"/>
    </mc:Choice>
  </mc:AlternateContent>
  <xr:revisionPtr revIDLastSave="0" documentId="13_ncr:1_{3C7BA40D-473E-43ED-B118-B28436B9B791}" xr6:coauthVersionLast="47" xr6:coauthVersionMax="47" xr10:uidLastSave="{00000000-0000-0000-0000-000000000000}"/>
  <bookViews>
    <workbookView xWindow="-20520" yWindow="1830" windowWidth="20640" windowHeight="11040" activeTab="3" xr2:uid="{00000000-000D-0000-FFFF-FFFF00000000}"/>
  </bookViews>
  <sheets>
    <sheet name="Sheet1" sheetId="1" r:id="rId1"/>
    <sheet name="SI_Units" sheetId="2" r:id="rId2"/>
    <sheet name="SI_Units (2)" sheetId="3" r:id="rId3"/>
    <sheet name="SI_Units (3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4" l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N8" i="4"/>
  <c r="M8" i="4"/>
  <c r="L8" i="4"/>
  <c r="K8" i="4"/>
  <c r="N7" i="4"/>
  <c r="M7" i="4"/>
  <c r="L7" i="4"/>
  <c r="K7" i="4"/>
  <c r="N6" i="4"/>
  <c r="M6" i="4"/>
  <c r="L6" i="4"/>
  <c r="K6" i="4"/>
  <c r="N5" i="4"/>
  <c r="M5" i="4"/>
  <c r="L5" i="4"/>
  <c r="K5" i="4"/>
  <c r="N4" i="4"/>
  <c r="M4" i="4"/>
  <c r="L4" i="4"/>
  <c r="K4" i="4"/>
  <c r="N3" i="4"/>
  <c r="M3" i="4"/>
  <c r="L3" i="4"/>
  <c r="K3" i="4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2" i="3"/>
</calcChain>
</file>

<file path=xl/sharedStrings.xml><?xml version="1.0" encoding="utf-8"?>
<sst xmlns="http://schemas.openxmlformats.org/spreadsheetml/2006/main" count="53" uniqueCount="34">
  <si>
    <t xml:space="preserve">T(K) </t>
  </si>
  <si>
    <t xml:space="preserve">Density(g/(cm)^3) </t>
  </si>
  <si>
    <t xml:space="preserve">Linear_expansion(%) </t>
  </si>
  <si>
    <t xml:space="preserve">Thermal_conductivity(W/(m*K)) </t>
  </si>
  <si>
    <t>Young_modulus(GPa)</t>
  </si>
  <si>
    <t xml:space="preserve">Poisson_ratio </t>
  </si>
  <si>
    <t>Specific_heat(J/(g K))</t>
  </si>
  <si>
    <t xml:space="preserve"> </t>
  </si>
  <si>
    <t>Temperature (K)</t>
  </si>
  <si>
    <t>Density (kg/m^3)</t>
  </si>
  <si>
    <t>Linear expansion (-)</t>
  </si>
  <si>
    <t>Thermal conductivity (W/(m·K))</t>
  </si>
  <si>
    <t>Young modulus (Pa)</t>
  </si>
  <si>
    <t>Poisson ratio (-)</t>
  </si>
  <si>
    <t>Specific heat (J/(kg·K))</t>
  </si>
  <si>
    <t>rho_t</t>
  </si>
  <si>
    <t>alpha_T</t>
  </si>
  <si>
    <t>Slope (m)</t>
  </si>
  <si>
    <t>Intercept (b)</t>
  </si>
  <si>
    <t>R²</t>
  </si>
  <si>
    <t>Property</t>
  </si>
  <si>
    <t>Equation: y = m*T + b</t>
  </si>
  <si>
    <t>Density (kg/m³)</t>
  </si>
  <si>
    <t>Linear Expansion (-)</t>
  </si>
  <si>
    <t>Thermal Cond. (W/(m·K))</t>
  </si>
  <si>
    <t>Young Modulus (Pa)</t>
  </si>
  <si>
    <t>Poisson Ratio (-)</t>
  </si>
  <si>
    <t>Specific Heat (J/(kg·K))</t>
  </si>
  <si>
    <t>Density_Fit</t>
  </si>
  <si>
    <t>LinExp_Fit</t>
  </si>
  <si>
    <t>ThermCond_Fit</t>
  </si>
  <si>
    <t>YoungMod_Fit</t>
  </si>
  <si>
    <t>Poisson_Fit</t>
  </si>
  <si>
    <t>SpecHeat_Fit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</si>
</sst>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11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(2)'!$B$1</c:f>
              <c:strCache>
                <c:ptCount val="1"/>
                <c:pt idx="0">
                  <c:v>Density (kg/m^3)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layout>
                <c:manualLayout>
                  <c:x val="-0.19155971128608923"/>
                  <c:y val="-2.56339311752697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(2)'!$B$2:$B$100</c:f>
              <c:numCache>
                <c:formatCode>0.00</c:formatCode>
                <c:ptCount val="99"/>
                <c:pt idx="0">
                  <c:v>4420.7299999999996</c:v>
                </c:pt>
                <c:pt idx="1">
                  <c:v>4420.1400000000003</c:v>
                </c:pt>
                <c:pt idx="2">
                  <c:v>4418.95</c:v>
                </c:pt>
                <c:pt idx="3">
                  <c:v>4417.76</c:v>
                </c:pt>
                <c:pt idx="4">
                  <c:v>4416.5599999999986</c:v>
                </c:pt>
                <c:pt idx="5">
                  <c:v>4415.3500000000004</c:v>
                </c:pt>
                <c:pt idx="6">
                  <c:v>4414.13</c:v>
                </c:pt>
                <c:pt idx="7">
                  <c:v>4412.91</c:v>
                </c:pt>
                <c:pt idx="8">
                  <c:v>4411.6799999999994</c:v>
                </c:pt>
                <c:pt idx="9">
                  <c:v>4410.4400000000014</c:v>
                </c:pt>
                <c:pt idx="10">
                  <c:v>4409.2</c:v>
                </c:pt>
                <c:pt idx="11">
                  <c:v>4407.95</c:v>
                </c:pt>
                <c:pt idx="12">
                  <c:v>4406.6900000000014</c:v>
                </c:pt>
                <c:pt idx="13">
                  <c:v>4405.42</c:v>
                </c:pt>
                <c:pt idx="14">
                  <c:v>4404.1499999999996</c:v>
                </c:pt>
                <c:pt idx="15">
                  <c:v>4402.87</c:v>
                </c:pt>
                <c:pt idx="16">
                  <c:v>4401.58</c:v>
                </c:pt>
                <c:pt idx="17">
                  <c:v>4400.29</c:v>
                </c:pt>
                <c:pt idx="18">
                  <c:v>4398.9900000000007</c:v>
                </c:pt>
                <c:pt idx="19">
                  <c:v>4397.68</c:v>
                </c:pt>
                <c:pt idx="20">
                  <c:v>4396.3599999999997</c:v>
                </c:pt>
                <c:pt idx="21">
                  <c:v>4395.04</c:v>
                </c:pt>
                <c:pt idx="22">
                  <c:v>4393.7099999999991</c:v>
                </c:pt>
                <c:pt idx="23">
                  <c:v>4392.38</c:v>
                </c:pt>
                <c:pt idx="24">
                  <c:v>4391.03</c:v>
                </c:pt>
                <c:pt idx="25">
                  <c:v>4389.68</c:v>
                </c:pt>
                <c:pt idx="26">
                  <c:v>4388.33</c:v>
                </c:pt>
                <c:pt idx="27">
                  <c:v>4386.97</c:v>
                </c:pt>
                <c:pt idx="28">
                  <c:v>4385.6000000000004</c:v>
                </c:pt>
                <c:pt idx="29">
                  <c:v>4384.22</c:v>
                </c:pt>
                <c:pt idx="30">
                  <c:v>4382.84</c:v>
                </c:pt>
                <c:pt idx="31">
                  <c:v>4381.45</c:v>
                </c:pt>
                <c:pt idx="32">
                  <c:v>4380.05</c:v>
                </c:pt>
                <c:pt idx="33">
                  <c:v>4378.6500000000005</c:v>
                </c:pt>
                <c:pt idx="34">
                  <c:v>4377.24</c:v>
                </c:pt>
                <c:pt idx="35">
                  <c:v>4375.82</c:v>
                </c:pt>
                <c:pt idx="36">
                  <c:v>4374.3999999999996</c:v>
                </c:pt>
                <c:pt idx="37">
                  <c:v>4372.9699999999993</c:v>
                </c:pt>
                <c:pt idx="38">
                  <c:v>4371.53</c:v>
                </c:pt>
                <c:pt idx="39">
                  <c:v>4370.09</c:v>
                </c:pt>
                <c:pt idx="40">
                  <c:v>4368.6400000000003</c:v>
                </c:pt>
                <c:pt idx="41">
                  <c:v>4367.18</c:v>
                </c:pt>
                <c:pt idx="42">
                  <c:v>4365.7199999999993</c:v>
                </c:pt>
                <c:pt idx="43">
                  <c:v>4364.25</c:v>
                </c:pt>
                <c:pt idx="44">
                  <c:v>4362.78</c:v>
                </c:pt>
                <c:pt idx="45">
                  <c:v>4361.3</c:v>
                </c:pt>
                <c:pt idx="46">
                  <c:v>4359.8100000000004</c:v>
                </c:pt>
                <c:pt idx="47">
                  <c:v>4358.32</c:v>
                </c:pt>
                <c:pt idx="48">
                  <c:v>4356.82</c:v>
                </c:pt>
                <c:pt idx="49">
                  <c:v>4355.3100000000004</c:v>
                </c:pt>
                <c:pt idx="50">
                  <c:v>4353.7999999999993</c:v>
                </c:pt>
                <c:pt idx="51">
                  <c:v>4352.2800000000007</c:v>
                </c:pt>
                <c:pt idx="52">
                  <c:v>4350.76</c:v>
                </c:pt>
                <c:pt idx="53">
                  <c:v>4349.2299999999996</c:v>
                </c:pt>
                <c:pt idx="54">
                  <c:v>4347.6900000000014</c:v>
                </c:pt>
                <c:pt idx="55">
                  <c:v>4346.1499999999996</c:v>
                </c:pt>
                <c:pt idx="56">
                  <c:v>4344.5999999999995</c:v>
                </c:pt>
                <c:pt idx="57">
                  <c:v>4343.04</c:v>
                </c:pt>
                <c:pt idx="58">
                  <c:v>4341.4799999999996</c:v>
                </c:pt>
                <c:pt idx="59">
                  <c:v>4339.92</c:v>
                </c:pt>
                <c:pt idx="60">
                  <c:v>4338.3399999999992</c:v>
                </c:pt>
                <c:pt idx="61">
                  <c:v>4336.7700000000004</c:v>
                </c:pt>
                <c:pt idx="62">
                  <c:v>4335.18</c:v>
                </c:pt>
                <c:pt idx="63">
                  <c:v>4333.59</c:v>
                </c:pt>
                <c:pt idx="64">
                  <c:v>4331.99</c:v>
                </c:pt>
                <c:pt idx="65">
                  <c:v>4330.3900000000003</c:v>
                </c:pt>
                <c:pt idx="66">
                  <c:v>4328.78</c:v>
                </c:pt>
                <c:pt idx="67">
                  <c:v>4327.17</c:v>
                </c:pt>
                <c:pt idx="68">
                  <c:v>4325.55</c:v>
                </c:pt>
                <c:pt idx="69">
                  <c:v>4323.92</c:v>
                </c:pt>
                <c:pt idx="70">
                  <c:v>4322.29</c:v>
                </c:pt>
                <c:pt idx="71">
                  <c:v>4320.8500000000004</c:v>
                </c:pt>
                <c:pt idx="72">
                  <c:v>4319.4299999999994</c:v>
                </c:pt>
                <c:pt idx="73">
                  <c:v>4318.0300000000007</c:v>
                </c:pt>
                <c:pt idx="74">
                  <c:v>4316.6500000000005</c:v>
                </c:pt>
                <c:pt idx="75">
                  <c:v>4315.3100000000004</c:v>
                </c:pt>
                <c:pt idx="76">
                  <c:v>4314</c:v>
                </c:pt>
                <c:pt idx="77">
                  <c:v>4312.74</c:v>
                </c:pt>
                <c:pt idx="78">
                  <c:v>4311.5200000000004</c:v>
                </c:pt>
                <c:pt idx="79">
                  <c:v>4310.37</c:v>
                </c:pt>
                <c:pt idx="80">
                  <c:v>4309.2800000000007</c:v>
                </c:pt>
                <c:pt idx="81">
                  <c:v>4308.2700000000004</c:v>
                </c:pt>
                <c:pt idx="82">
                  <c:v>4307.34</c:v>
                </c:pt>
                <c:pt idx="83">
                  <c:v>4306.5300000000007</c:v>
                </c:pt>
                <c:pt idx="84">
                  <c:v>4305.83</c:v>
                </c:pt>
                <c:pt idx="85">
                  <c:v>4305.2700000000004</c:v>
                </c:pt>
                <c:pt idx="86">
                  <c:v>4304.87</c:v>
                </c:pt>
                <c:pt idx="87">
                  <c:v>4304.6499999999996</c:v>
                </c:pt>
                <c:pt idx="88">
                  <c:v>4304.62</c:v>
                </c:pt>
                <c:pt idx="89">
                  <c:v>4304.8200000000006</c:v>
                </c:pt>
                <c:pt idx="90">
                  <c:v>4305.2400000000007</c:v>
                </c:pt>
                <c:pt idx="91">
                  <c:v>4305.9000000000005</c:v>
                </c:pt>
                <c:pt idx="92">
                  <c:v>4306.8</c:v>
                </c:pt>
                <c:pt idx="93">
                  <c:v>4307.8900000000003</c:v>
                </c:pt>
                <c:pt idx="94">
                  <c:v>4309.13</c:v>
                </c:pt>
                <c:pt idx="95">
                  <c:v>4310.4500000000007</c:v>
                </c:pt>
                <c:pt idx="96">
                  <c:v>4311.7299999999996</c:v>
                </c:pt>
                <c:pt idx="97">
                  <c:v>4312.87</c:v>
                </c:pt>
                <c:pt idx="98">
                  <c:v>4313.72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D8-4911-95EB-736A1B1626BA}"/>
            </c:ext>
          </c:extLst>
        </c:ser>
        <c:ser>
          <c:idx val="1"/>
          <c:order val="1"/>
          <c:tx>
            <c:strRef>
              <c:f>'SI_Units (2)'!$J$1</c:f>
              <c:strCache>
                <c:ptCount val="1"/>
                <c:pt idx="0">
                  <c:v>rho_t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(2)'!$J$2:$J$100</c:f>
              <c:numCache>
                <c:formatCode>General</c:formatCode>
                <c:ptCount val="99"/>
                <c:pt idx="0">
                  <c:v>4420.2865285999997</c:v>
                </c:pt>
                <c:pt idx="1">
                  <c:v>4419.6264486</c:v>
                </c:pt>
                <c:pt idx="2">
                  <c:v>4418.3062885999998</c:v>
                </c:pt>
                <c:pt idx="3">
                  <c:v>4416.9861285999996</c:v>
                </c:pt>
                <c:pt idx="4">
                  <c:v>4415.6659685999994</c:v>
                </c:pt>
                <c:pt idx="5">
                  <c:v>4414.3458086000001</c:v>
                </c:pt>
                <c:pt idx="6">
                  <c:v>4413.0256485999998</c:v>
                </c:pt>
                <c:pt idx="7">
                  <c:v>4411.7054885999996</c:v>
                </c:pt>
                <c:pt idx="8">
                  <c:v>4410.3853285999994</c:v>
                </c:pt>
                <c:pt idx="9">
                  <c:v>4409.0651686000001</c:v>
                </c:pt>
                <c:pt idx="10">
                  <c:v>4407.7450085999999</c:v>
                </c:pt>
                <c:pt idx="11">
                  <c:v>4406.4248485999997</c:v>
                </c:pt>
                <c:pt idx="12">
                  <c:v>4405.1046885999995</c:v>
                </c:pt>
                <c:pt idx="13">
                  <c:v>4403.7845286000002</c:v>
                </c:pt>
                <c:pt idx="14">
                  <c:v>4402.4643685999999</c:v>
                </c:pt>
                <c:pt idx="15">
                  <c:v>4401.1442085999997</c:v>
                </c:pt>
                <c:pt idx="16">
                  <c:v>4399.8240485999995</c:v>
                </c:pt>
                <c:pt idx="17">
                  <c:v>4398.5038886000002</c:v>
                </c:pt>
                <c:pt idx="18">
                  <c:v>4397.1837286</c:v>
                </c:pt>
                <c:pt idx="19">
                  <c:v>4395.8635685999998</c:v>
                </c:pt>
                <c:pt idx="20">
                  <c:v>4394.5434085999996</c:v>
                </c:pt>
                <c:pt idx="21">
                  <c:v>4393.2232485999994</c:v>
                </c:pt>
                <c:pt idx="22">
                  <c:v>4391.9030886</c:v>
                </c:pt>
                <c:pt idx="23">
                  <c:v>4390.5829285999998</c:v>
                </c:pt>
                <c:pt idx="24">
                  <c:v>4389.2627685999996</c:v>
                </c:pt>
                <c:pt idx="25">
                  <c:v>4387.9426085999994</c:v>
                </c:pt>
                <c:pt idx="26">
                  <c:v>4386.6224486000001</c:v>
                </c:pt>
                <c:pt idx="27">
                  <c:v>4385.3022885999999</c:v>
                </c:pt>
                <c:pt idx="28">
                  <c:v>4383.9821285999997</c:v>
                </c:pt>
                <c:pt idx="29">
                  <c:v>4382.6619685999995</c:v>
                </c:pt>
                <c:pt idx="30">
                  <c:v>4381.3418086000001</c:v>
                </c:pt>
                <c:pt idx="31">
                  <c:v>4380.0216485999999</c:v>
                </c:pt>
                <c:pt idx="32">
                  <c:v>4378.7014885999997</c:v>
                </c:pt>
                <c:pt idx="33">
                  <c:v>4377.3813285999995</c:v>
                </c:pt>
                <c:pt idx="34">
                  <c:v>4376.0611686000002</c:v>
                </c:pt>
                <c:pt idx="35">
                  <c:v>4374.7410086</c:v>
                </c:pt>
                <c:pt idx="36">
                  <c:v>4373.4208485999998</c:v>
                </c:pt>
                <c:pt idx="37">
                  <c:v>4372.1006885999996</c:v>
                </c:pt>
                <c:pt idx="38">
                  <c:v>4370.7805286000003</c:v>
                </c:pt>
                <c:pt idx="39">
                  <c:v>4369.4603686</c:v>
                </c:pt>
                <c:pt idx="40">
                  <c:v>4368.1402085999998</c:v>
                </c:pt>
                <c:pt idx="41">
                  <c:v>4366.8200485999996</c:v>
                </c:pt>
                <c:pt idx="42">
                  <c:v>4365.4998885999994</c:v>
                </c:pt>
                <c:pt idx="43">
                  <c:v>4364.1797286000001</c:v>
                </c:pt>
                <c:pt idx="44">
                  <c:v>4362.8595685999999</c:v>
                </c:pt>
                <c:pt idx="45">
                  <c:v>4361.5394085999997</c:v>
                </c:pt>
                <c:pt idx="46">
                  <c:v>4360.2192485999994</c:v>
                </c:pt>
                <c:pt idx="47">
                  <c:v>4358.8990886000001</c:v>
                </c:pt>
                <c:pt idx="48">
                  <c:v>4357.5789285999999</c:v>
                </c:pt>
                <c:pt idx="49">
                  <c:v>4356.2587685999997</c:v>
                </c:pt>
                <c:pt idx="50">
                  <c:v>4354.9386085999995</c:v>
                </c:pt>
                <c:pt idx="51">
                  <c:v>4353.6184486000002</c:v>
                </c:pt>
                <c:pt idx="52">
                  <c:v>4352.2982886</c:v>
                </c:pt>
                <c:pt idx="53">
                  <c:v>4350.9781285999998</c:v>
                </c:pt>
                <c:pt idx="54">
                  <c:v>4349.6579685999995</c:v>
                </c:pt>
                <c:pt idx="55">
                  <c:v>4348.3378086000002</c:v>
                </c:pt>
                <c:pt idx="56">
                  <c:v>4347.0176486</c:v>
                </c:pt>
                <c:pt idx="57">
                  <c:v>4345.6974885999998</c:v>
                </c:pt>
                <c:pt idx="58">
                  <c:v>4344.3773285999996</c:v>
                </c:pt>
                <c:pt idx="59">
                  <c:v>4343.0571685999994</c:v>
                </c:pt>
                <c:pt idx="60">
                  <c:v>4341.7370086000001</c:v>
                </c:pt>
                <c:pt idx="61">
                  <c:v>4340.4168485999999</c:v>
                </c:pt>
                <c:pt idx="62">
                  <c:v>4339.0966885999997</c:v>
                </c:pt>
                <c:pt idx="63">
                  <c:v>4337.7765285999994</c:v>
                </c:pt>
                <c:pt idx="64">
                  <c:v>4336.4563686000001</c:v>
                </c:pt>
                <c:pt idx="65">
                  <c:v>4335.1362085999999</c:v>
                </c:pt>
                <c:pt idx="66">
                  <c:v>4333.8160485999997</c:v>
                </c:pt>
                <c:pt idx="67">
                  <c:v>4332.4958885999995</c:v>
                </c:pt>
                <c:pt idx="68">
                  <c:v>4331.1757286000002</c:v>
                </c:pt>
                <c:pt idx="69">
                  <c:v>4329.8555686</c:v>
                </c:pt>
                <c:pt idx="70">
                  <c:v>4328.5354085999998</c:v>
                </c:pt>
                <c:pt idx="71">
                  <c:v>4327.2152485999995</c:v>
                </c:pt>
                <c:pt idx="72">
                  <c:v>4325.8950886000002</c:v>
                </c:pt>
                <c:pt idx="73">
                  <c:v>4324.5749286</c:v>
                </c:pt>
                <c:pt idx="74">
                  <c:v>4323.2547685999998</c:v>
                </c:pt>
                <c:pt idx="75">
                  <c:v>4321.9346085999996</c:v>
                </c:pt>
                <c:pt idx="76">
                  <c:v>4320.6144485999994</c:v>
                </c:pt>
                <c:pt idx="77">
                  <c:v>4319.2942886000001</c:v>
                </c:pt>
                <c:pt idx="78">
                  <c:v>4317.9741285999999</c:v>
                </c:pt>
                <c:pt idx="79">
                  <c:v>4316.6539685999996</c:v>
                </c:pt>
                <c:pt idx="80">
                  <c:v>4315.3338085999994</c:v>
                </c:pt>
                <c:pt idx="81">
                  <c:v>4314.0136486000001</c:v>
                </c:pt>
                <c:pt idx="82">
                  <c:v>4312.6934885999999</c:v>
                </c:pt>
                <c:pt idx="83">
                  <c:v>4311.3733285999997</c:v>
                </c:pt>
                <c:pt idx="84">
                  <c:v>4310.0531685999995</c:v>
                </c:pt>
                <c:pt idx="85">
                  <c:v>4308.7330086000002</c:v>
                </c:pt>
                <c:pt idx="86">
                  <c:v>4307.4128486</c:v>
                </c:pt>
                <c:pt idx="87">
                  <c:v>4306.0926885999997</c:v>
                </c:pt>
                <c:pt idx="88">
                  <c:v>4304.7725285999995</c:v>
                </c:pt>
                <c:pt idx="89">
                  <c:v>4303.4523686000002</c:v>
                </c:pt>
                <c:pt idx="90">
                  <c:v>4302.1322086</c:v>
                </c:pt>
                <c:pt idx="91">
                  <c:v>4300.8120485999998</c:v>
                </c:pt>
                <c:pt idx="92">
                  <c:v>4299.4918885999996</c:v>
                </c:pt>
                <c:pt idx="93">
                  <c:v>4298.1717285999994</c:v>
                </c:pt>
                <c:pt idx="94">
                  <c:v>4296.8515686000001</c:v>
                </c:pt>
                <c:pt idx="95">
                  <c:v>4295.5314085999998</c:v>
                </c:pt>
                <c:pt idx="96">
                  <c:v>4294.2112485999996</c:v>
                </c:pt>
                <c:pt idx="97">
                  <c:v>4292.8910885999994</c:v>
                </c:pt>
                <c:pt idx="98">
                  <c:v>4291.5709286000001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C0-4A17-A17D-F46DDBB8F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59088"/>
        <c:axId val="1750159568"/>
      </c:scatterChart>
      <c:valAx>
        <c:axId val="175015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568"/>
        <c:crosses val="autoZero"/>
        <c:crossBetween val="midCat"/>
      </c:valAx>
      <c:valAx>
        <c:axId val="175015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406518849802213"/>
          <c:y val="0.16228291383339274"/>
          <c:w val="0.78407481083655683"/>
          <c:h val="0.7775951745155925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'SI_Units (2)'!$C$1</c:f>
              <c:strCache>
                <c:ptCount val="1"/>
                <c:pt idx="0">
                  <c:v>Linear expansion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(2)'!$C$2:$C$100</c:f>
              <c:numCache>
                <c:formatCode>0.000000</c:formatCode>
                <c:ptCount val="99"/>
                <c:pt idx="0">
                  <c:v>0</c:v>
                </c:pt>
                <c:pt idx="1">
                  <c:v>4.4520000000000001E-5</c:v>
                </c:pt>
                <c:pt idx="2">
                  <c:v>1.3401400000000001E-4</c:v>
                </c:pt>
                <c:pt idx="3">
                  <c:v>2.2411100000000001E-4</c:v>
                </c:pt>
                <c:pt idx="4">
                  <c:v>3.1481199999999998E-4</c:v>
                </c:pt>
                <c:pt idx="5">
                  <c:v>4.0611500000000002E-4</c:v>
                </c:pt>
                <c:pt idx="6">
                  <c:v>4.9801900000000004E-4</c:v>
                </c:pt>
                <c:pt idx="7">
                  <c:v>5.9052300000000002E-4</c:v>
                </c:pt>
                <c:pt idx="8">
                  <c:v>6.8362700000000002E-4</c:v>
                </c:pt>
                <c:pt idx="9">
                  <c:v>7.7732899999999989E-4</c:v>
                </c:pt>
                <c:pt idx="10">
                  <c:v>8.7163000000000008E-4</c:v>
                </c:pt>
                <c:pt idx="11">
                  <c:v>9.665269999999999E-4</c:v>
                </c:pt>
                <c:pt idx="12">
                  <c:v>1.062E-3</c:v>
                </c:pt>
                <c:pt idx="13">
                  <c:v>1.1581E-3</c:v>
                </c:pt>
                <c:pt idx="14">
                  <c:v>1.2547999999999999E-3</c:v>
                </c:pt>
                <c:pt idx="15">
                  <c:v>1.3521E-3</c:v>
                </c:pt>
                <c:pt idx="16">
                  <c:v>1.4499000000000001E-3</c:v>
                </c:pt>
                <c:pt idx="17">
                  <c:v>1.5483999999999999E-3</c:v>
                </c:pt>
                <c:pt idx="18">
                  <c:v>1.6475000000000001E-3</c:v>
                </c:pt>
                <c:pt idx="19">
                  <c:v>1.7470999999999999E-3</c:v>
                </c:pt>
                <c:pt idx="20">
                  <c:v>1.8473000000000001E-3</c:v>
                </c:pt>
                <c:pt idx="21">
                  <c:v>1.9480999999999999E-3</c:v>
                </c:pt>
                <c:pt idx="22">
                  <c:v>2.0495999999999999E-3</c:v>
                </c:pt>
                <c:pt idx="23">
                  <c:v>2.1515000000000002E-3</c:v>
                </c:pt>
                <c:pt idx="24">
                  <c:v>2.2541000000000002E-3</c:v>
                </c:pt>
                <c:pt idx="25">
                  <c:v>2.3573000000000001E-3</c:v>
                </c:pt>
                <c:pt idx="26">
                  <c:v>2.4610000000000001E-3</c:v>
                </c:pt>
                <c:pt idx="27">
                  <c:v>2.5653999999999998E-3</c:v>
                </c:pt>
                <c:pt idx="28">
                  <c:v>2.6703E-3</c:v>
                </c:pt>
                <c:pt idx="29">
                  <c:v>2.7758000000000001E-3</c:v>
                </c:pt>
                <c:pt idx="30">
                  <c:v>2.8819000000000002E-3</c:v>
                </c:pt>
                <c:pt idx="31">
                  <c:v>2.9884999999999998E-3</c:v>
                </c:pt>
                <c:pt idx="32">
                  <c:v>3.0958000000000001E-3</c:v>
                </c:pt>
                <c:pt idx="33">
                  <c:v>3.2036E-3</c:v>
                </c:pt>
                <c:pt idx="34">
                  <c:v>3.3119999999999998E-3</c:v>
                </c:pt>
                <c:pt idx="35">
                  <c:v>3.4209000000000002E-3</c:v>
                </c:pt>
                <c:pt idx="36">
                  <c:v>3.5304999999999998E-3</c:v>
                </c:pt>
                <c:pt idx="37">
                  <c:v>3.6405999999999999E-3</c:v>
                </c:pt>
                <c:pt idx="38">
                  <c:v>3.7512999999999999E-3</c:v>
                </c:pt>
                <c:pt idx="39">
                  <c:v>3.8625E-3</c:v>
                </c:pt>
                <c:pt idx="40">
                  <c:v>3.9744000000000003E-3</c:v>
                </c:pt>
                <c:pt idx="41">
                  <c:v>4.0867999999999998E-3</c:v>
                </c:pt>
                <c:pt idx="42">
                  <c:v>4.1998000000000001E-3</c:v>
                </c:pt>
                <c:pt idx="43">
                  <c:v>4.3132999999999999E-3</c:v>
                </c:pt>
                <c:pt idx="44">
                  <c:v>4.4274000000000006E-3</c:v>
                </c:pt>
                <c:pt idx="45">
                  <c:v>4.5421000000000003E-3</c:v>
                </c:pt>
                <c:pt idx="46">
                  <c:v>4.6573999999999999E-3</c:v>
                </c:pt>
                <c:pt idx="47">
                  <c:v>4.7732E-3</c:v>
                </c:pt>
                <c:pt idx="48">
                  <c:v>4.8894999999999997E-3</c:v>
                </c:pt>
                <c:pt idx="49">
                  <c:v>5.0065000000000014E-3</c:v>
                </c:pt>
                <c:pt idx="50">
                  <c:v>5.1240000000000001E-3</c:v>
                </c:pt>
                <c:pt idx="51">
                  <c:v>5.2421000000000004E-3</c:v>
                </c:pt>
                <c:pt idx="52">
                  <c:v>5.3607000000000004E-3</c:v>
                </c:pt>
                <c:pt idx="53">
                  <c:v>5.4798999999999994E-3</c:v>
                </c:pt>
                <c:pt idx="54">
                  <c:v>5.5997E-3</c:v>
                </c:pt>
                <c:pt idx="55">
                  <c:v>5.7199999999999994E-3</c:v>
                </c:pt>
                <c:pt idx="56">
                  <c:v>5.8408000000000002E-3</c:v>
                </c:pt>
                <c:pt idx="57">
                  <c:v>5.9623000000000002E-3</c:v>
                </c:pt>
                <c:pt idx="58">
                  <c:v>6.0843E-3</c:v>
                </c:pt>
                <c:pt idx="59">
                  <c:v>6.2068000000000002E-3</c:v>
                </c:pt>
                <c:pt idx="60">
                  <c:v>6.3299000000000003E-3</c:v>
                </c:pt>
                <c:pt idx="61">
                  <c:v>6.4535E-3</c:v>
                </c:pt>
                <c:pt idx="62">
                  <c:v>6.5776999999999997E-3</c:v>
                </c:pt>
                <c:pt idx="63">
                  <c:v>6.7025000000000001E-3</c:v>
                </c:pt>
                <c:pt idx="64">
                  <c:v>6.8278000000000002E-3</c:v>
                </c:pt>
                <c:pt idx="65">
                  <c:v>6.9537000000000002E-3</c:v>
                </c:pt>
                <c:pt idx="66">
                  <c:v>7.0801000000000006E-3</c:v>
                </c:pt>
                <c:pt idx="67">
                  <c:v>7.2069999999999999E-3</c:v>
                </c:pt>
                <c:pt idx="68">
                  <c:v>7.3345000000000007E-3</c:v>
                </c:pt>
                <c:pt idx="69">
                  <c:v>7.4626000000000007E-3</c:v>
                </c:pt>
                <c:pt idx="70">
                  <c:v>7.5912000000000002E-3</c:v>
                </c:pt>
                <c:pt idx="71">
                  <c:v>7.705E-3</c:v>
                </c:pt>
                <c:pt idx="72">
                  <c:v>7.8174000000000004E-3</c:v>
                </c:pt>
                <c:pt idx="73">
                  <c:v>7.9281000000000004E-3</c:v>
                </c:pt>
                <c:pt idx="74">
                  <c:v>8.0367000000000008E-3</c:v>
                </c:pt>
                <c:pt idx="75">
                  <c:v>8.1430000000000009E-3</c:v>
                </c:pt>
                <c:pt idx="76">
                  <c:v>8.246400000000001E-3</c:v>
                </c:pt>
                <c:pt idx="77">
                  <c:v>8.3464999999999998E-3</c:v>
                </c:pt>
                <c:pt idx="78">
                  <c:v>8.4426999999999992E-3</c:v>
                </c:pt>
                <c:pt idx="79">
                  <c:v>8.5345000000000004E-3</c:v>
                </c:pt>
                <c:pt idx="80">
                  <c:v>8.6209000000000008E-3</c:v>
                </c:pt>
                <c:pt idx="81">
                  <c:v>8.7011999999999992E-3</c:v>
                </c:pt>
                <c:pt idx="82">
                  <c:v>8.7743999999999999E-3</c:v>
                </c:pt>
                <c:pt idx="83">
                  <c:v>8.8392999999999996E-3</c:v>
                </c:pt>
                <c:pt idx="84">
                  <c:v>8.8947000000000002E-3</c:v>
                </c:pt>
                <c:pt idx="85">
                  <c:v>8.9391000000000002E-3</c:v>
                </c:pt>
                <c:pt idx="86">
                  <c:v>8.9710999999999992E-3</c:v>
                </c:pt>
                <c:pt idx="87">
                  <c:v>8.9887999999999999E-3</c:v>
                </c:pt>
                <c:pt idx="88">
                  <c:v>8.9908000000000002E-3</c:v>
                </c:pt>
                <c:pt idx="89">
                  <c:v>8.9753999999999997E-3</c:v>
                </c:pt>
                <c:pt idx="90">
                  <c:v>8.9414999999999998E-3</c:v>
                </c:pt>
                <c:pt idx="91">
                  <c:v>8.8888000000000005E-3</c:v>
                </c:pt>
                <c:pt idx="92">
                  <c:v>8.8179E-3</c:v>
                </c:pt>
                <c:pt idx="93">
                  <c:v>8.7309999999999992E-3</c:v>
                </c:pt>
                <c:pt idx="94">
                  <c:v>8.6324000000000001E-3</c:v>
                </c:pt>
                <c:pt idx="95">
                  <c:v>8.5281999999999997E-3</c:v>
                </c:pt>
                <c:pt idx="96">
                  <c:v>8.4263999999999988E-3</c:v>
                </c:pt>
                <c:pt idx="97">
                  <c:v>8.3362999999999996E-3</c:v>
                </c:pt>
                <c:pt idx="98">
                  <c:v>8.2686000000000009E-3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03-41F0-BCEA-B68F17F4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65328"/>
        <c:axId val="1750166768"/>
      </c:scatterChart>
      <c:valAx>
        <c:axId val="175016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6768"/>
        <c:crosses val="autoZero"/>
        <c:crossBetween val="midCat"/>
      </c:valAx>
      <c:valAx>
        <c:axId val="1750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(2)'!$D$1</c:f>
              <c:strCache>
                <c:ptCount val="1"/>
                <c:pt idx="0">
                  <c:v>Thermal conductivity (W/(m·K))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(2)'!$D$2:$D$100</c:f>
              <c:numCache>
                <c:formatCode>0.00000</c:formatCode>
                <c:ptCount val="99"/>
                <c:pt idx="0">
                  <c:v>5.1322000000000001</c:v>
                </c:pt>
                <c:pt idx="1">
                  <c:v>5.2633200000000002</c:v>
                </c:pt>
                <c:pt idx="2">
                  <c:v>5.5197700000000003</c:v>
                </c:pt>
                <c:pt idx="3">
                  <c:v>5.76912</c:v>
                </c:pt>
                <c:pt idx="4">
                  <c:v>6.0120100000000001</c:v>
                </c:pt>
                <c:pt idx="5">
                  <c:v>6.2490100000000002</c:v>
                </c:pt>
                <c:pt idx="6">
                  <c:v>6.4806400000000002</c:v>
                </c:pt>
                <c:pt idx="7">
                  <c:v>6.7073499999999999</c:v>
                </c:pt>
                <c:pt idx="8">
                  <c:v>6.9295299999999997</c:v>
                </c:pt>
                <c:pt idx="9">
                  <c:v>7.1475600000000004</c:v>
                </c:pt>
                <c:pt idx="10">
                  <c:v>7.3617400000000002</c:v>
                </c:pt>
                <c:pt idx="11">
                  <c:v>7.5723799999999999</c:v>
                </c:pt>
                <c:pt idx="12">
                  <c:v>7.7797400000000003</c:v>
                </c:pt>
                <c:pt idx="13">
                  <c:v>7.9840499999999999</c:v>
                </c:pt>
                <c:pt idx="14">
                  <c:v>8.1855399999999996</c:v>
                </c:pt>
                <c:pt idx="15">
                  <c:v>8.3843899999999998</c:v>
                </c:pt>
                <c:pt idx="16">
                  <c:v>8.5807900000000004</c:v>
                </c:pt>
                <c:pt idx="17">
                  <c:v>8.7748899999999992</c:v>
                </c:pt>
                <c:pt idx="18">
                  <c:v>8.9668600000000005</c:v>
                </c:pt>
                <c:pt idx="19">
                  <c:v>9.1568299999999994</c:v>
                </c:pt>
                <c:pt idx="20">
                  <c:v>9.3449200000000001</c:v>
                </c:pt>
                <c:pt idx="21">
                  <c:v>9.53125</c:v>
                </c:pt>
                <c:pt idx="22">
                  <c:v>9.7159300000000002</c:v>
                </c:pt>
                <c:pt idx="23">
                  <c:v>9.8990500000000008</c:v>
                </c:pt>
                <c:pt idx="24">
                  <c:v>10.08071</c:v>
                </c:pt>
                <c:pt idx="25">
                  <c:v>10.26099</c:v>
                </c:pt>
                <c:pt idx="26">
                  <c:v>10.439970000000001</c:v>
                </c:pt>
                <c:pt idx="27">
                  <c:v>10.61773</c:v>
                </c:pt>
                <c:pt idx="28">
                  <c:v>10.79433</c:v>
                </c:pt>
                <c:pt idx="29">
                  <c:v>10.96983</c:v>
                </c:pt>
                <c:pt idx="30">
                  <c:v>11.14429</c:v>
                </c:pt>
                <c:pt idx="31">
                  <c:v>11.317780000000001</c:v>
                </c:pt>
                <c:pt idx="32">
                  <c:v>11.49033</c:v>
                </c:pt>
                <c:pt idx="33">
                  <c:v>11.66201</c:v>
                </c:pt>
                <c:pt idx="34">
                  <c:v>11.832839999999999</c:v>
                </c:pt>
                <c:pt idx="35">
                  <c:v>12.002879999999999</c:v>
                </c:pt>
                <c:pt idx="36">
                  <c:v>12.172169999999999</c:v>
                </c:pt>
                <c:pt idx="37">
                  <c:v>12.34074</c:v>
                </c:pt>
                <c:pt idx="38">
                  <c:v>12.508620000000001</c:v>
                </c:pt>
                <c:pt idx="39">
                  <c:v>12.67586</c:v>
                </c:pt>
                <c:pt idx="40">
                  <c:v>12.84248</c:v>
                </c:pt>
                <c:pt idx="41">
                  <c:v>13.008509999999999</c:v>
                </c:pt>
                <c:pt idx="42">
                  <c:v>13.17398</c:v>
                </c:pt>
                <c:pt idx="43">
                  <c:v>13.33892</c:v>
                </c:pt>
                <c:pt idx="44">
                  <c:v>13.50334</c:v>
                </c:pt>
                <c:pt idx="45">
                  <c:v>13.66728</c:v>
                </c:pt>
                <c:pt idx="46">
                  <c:v>13.83075</c:v>
                </c:pt>
                <c:pt idx="47">
                  <c:v>13.993779999999999</c:v>
                </c:pt>
                <c:pt idx="48">
                  <c:v>14.15639</c:v>
                </c:pt>
                <c:pt idx="49">
                  <c:v>14.31859</c:v>
                </c:pt>
                <c:pt idx="50">
                  <c:v>14.480399999999999</c:v>
                </c:pt>
                <c:pt idx="51">
                  <c:v>14.64185</c:v>
                </c:pt>
                <c:pt idx="52">
                  <c:v>14.80294</c:v>
                </c:pt>
                <c:pt idx="53">
                  <c:v>14.96369</c:v>
                </c:pt>
                <c:pt idx="54">
                  <c:v>15.12412</c:v>
                </c:pt>
                <c:pt idx="55">
                  <c:v>15.28424</c:v>
                </c:pt>
                <c:pt idx="56">
                  <c:v>15.44407</c:v>
                </c:pt>
                <c:pt idx="57">
                  <c:v>15.60361</c:v>
                </c:pt>
                <c:pt idx="58">
                  <c:v>15.762879999999999</c:v>
                </c:pt>
                <c:pt idx="59">
                  <c:v>15.921889999999999</c:v>
                </c:pt>
                <c:pt idx="60">
                  <c:v>16.080649999999999</c:v>
                </c:pt>
                <c:pt idx="61">
                  <c:v>16.239170000000001</c:v>
                </c:pt>
                <c:pt idx="62">
                  <c:v>16.397469999999998</c:v>
                </c:pt>
                <c:pt idx="63">
                  <c:v>16.55555</c:v>
                </c:pt>
                <c:pt idx="64">
                  <c:v>16.71341</c:v>
                </c:pt>
                <c:pt idx="65">
                  <c:v>16.871079999999999</c:v>
                </c:pt>
                <c:pt idx="66">
                  <c:v>17.028559999999999</c:v>
                </c:pt>
                <c:pt idx="67">
                  <c:v>17.185849999999999</c:v>
                </c:pt>
                <c:pt idx="68">
                  <c:v>17.342970000000001</c:v>
                </c:pt>
                <c:pt idx="69">
                  <c:v>17.499919999999999</c:v>
                </c:pt>
                <c:pt idx="70">
                  <c:v>17.65671</c:v>
                </c:pt>
                <c:pt idx="71">
                  <c:v>17.82244</c:v>
                </c:pt>
                <c:pt idx="72">
                  <c:v>17.98939</c:v>
                </c:pt>
                <c:pt idx="73">
                  <c:v>18.157630000000001</c:v>
                </c:pt>
                <c:pt idx="74">
                  <c:v>18.327249999999999</c:v>
                </c:pt>
                <c:pt idx="75">
                  <c:v>18.498349999999999</c:v>
                </c:pt>
                <c:pt idx="76">
                  <c:v>18.67099</c:v>
                </c:pt>
                <c:pt idx="77">
                  <c:v>18.845269999999999</c:v>
                </c:pt>
                <c:pt idx="78">
                  <c:v>19.021239999999999</c:v>
                </c:pt>
                <c:pt idx="79">
                  <c:v>19.198979999999999</c:v>
                </c:pt>
                <c:pt idx="80">
                  <c:v>19.378520000000002</c:v>
                </c:pt>
                <c:pt idx="81">
                  <c:v>19.55988</c:v>
                </c:pt>
                <c:pt idx="82">
                  <c:v>19.743020000000001</c:v>
                </c:pt>
                <c:pt idx="83">
                  <c:v>19.927890000000001</c:v>
                </c:pt>
                <c:pt idx="84">
                  <c:v>20.114350000000002</c:v>
                </c:pt>
                <c:pt idx="85">
                  <c:v>20.302209999999999</c:v>
                </c:pt>
                <c:pt idx="86">
                  <c:v>20.49117</c:v>
                </c:pt>
                <c:pt idx="87">
                  <c:v>20.68084</c:v>
                </c:pt>
                <c:pt idx="88">
                  <c:v>20.870709999999999</c:v>
                </c:pt>
                <c:pt idx="89">
                  <c:v>21.06016</c:v>
                </c:pt>
                <c:pt idx="90">
                  <c:v>21.248470000000001</c:v>
                </c:pt>
                <c:pt idx="91">
                  <c:v>21.43487</c:v>
                </c:pt>
                <c:pt idx="92">
                  <c:v>21.61861</c:v>
                </c:pt>
                <c:pt idx="93">
                  <c:v>21.799109999999999</c:v>
                </c:pt>
                <c:pt idx="94">
                  <c:v>21.976009999999999</c:v>
                </c:pt>
                <c:pt idx="95">
                  <c:v>22.149180000000001</c:v>
                </c:pt>
                <c:pt idx="96">
                  <c:v>22.318619999999999</c:v>
                </c:pt>
                <c:pt idx="97">
                  <c:v>22.484190000000002</c:v>
                </c:pt>
                <c:pt idx="98">
                  <c:v>22.645440000000001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97-4B1E-ABD4-2B49BFD8D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04432"/>
        <c:axId val="1187501072"/>
      </c:scatterChart>
      <c:valAx>
        <c:axId val="11875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1072"/>
        <c:crosses val="autoZero"/>
        <c:crossBetween val="midCat"/>
      </c:valAx>
      <c:valAx>
        <c:axId val="1187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(2)'!$E$1</c:f>
              <c:strCache>
                <c:ptCount val="1"/>
                <c:pt idx="0">
                  <c:v>Young modulus (Pa)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(2)'!$E$2:$E$100</c:f>
              <c:numCache>
                <c:formatCode>0.00E+00</c:formatCode>
                <c:ptCount val="99"/>
                <c:pt idx="0">
                  <c:v>116049750000</c:v>
                </c:pt>
                <c:pt idx="1">
                  <c:v>115789320000</c:v>
                </c:pt>
                <c:pt idx="2">
                  <c:v>115268110000</c:v>
                </c:pt>
                <c:pt idx="3">
                  <c:v>114746440000</c:v>
                </c:pt>
                <c:pt idx="4">
                  <c:v>114224300000</c:v>
                </c:pt>
                <c:pt idx="5">
                  <c:v>113701700000</c:v>
                </c:pt>
                <c:pt idx="6">
                  <c:v>113178630000</c:v>
                </c:pt>
                <c:pt idx="7">
                  <c:v>112655080000</c:v>
                </c:pt>
                <c:pt idx="8">
                  <c:v>112131060000</c:v>
                </c:pt>
                <c:pt idx="9">
                  <c:v>111606560000</c:v>
                </c:pt>
                <c:pt idx="10">
                  <c:v>111081590000</c:v>
                </c:pt>
                <c:pt idx="11">
                  <c:v>110556140000</c:v>
                </c:pt>
                <c:pt idx="12">
                  <c:v>110030200000</c:v>
                </c:pt>
                <c:pt idx="13">
                  <c:v>109503780000</c:v>
                </c:pt>
                <c:pt idx="14">
                  <c:v>108976880000</c:v>
                </c:pt>
                <c:pt idx="15">
                  <c:v>108449500000</c:v>
                </c:pt>
                <c:pt idx="16">
                  <c:v>107921640000</c:v>
                </c:pt>
                <c:pt idx="17">
                  <c:v>107393280000</c:v>
                </c:pt>
                <c:pt idx="18">
                  <c:v>106864450000</c:v>
                </c:pt>
                <c:pt idx="19">
                  <c:v>106335120000</c:v>
                </c:pt>
                <c:pt idx="20">
                  <c:v>105805320000</c:v>
                </c:pt>
                <c:pt idx="21">
                  <c:v>105275020000</c:v>
                </c:pt>
                <c:pt idx="22">
                  <c:v>104744240000</c:v>
                </c:pt>
                <c:pt idx="23">
                  <c:v>104212970000</c:v>
                </c:pt>
                <c:pt idx="24">
                  <c:v>103681220000</c:v>
                </c:pt>
                <c:pt idx="25">
                  <c:v>103148970000</c:v>
                </c:pt>
                <c:pt idx="26">
                  <c:v>102616240000</c:v>
                </c:pt>
                <c:pt idx="27">
                  <c:v>102083020000</c:v>
                </c:pt>
                <c:pt idx="28">
                  <c:v>101549320000</c:v>
                </c:pt>
                <c:pt idx="29">
                  <c:v>101015130000</c:v>
                </c:pt>
                <c:pt idx="30">
                  <c:v>100480450000</c:v>
                </c:pt>
                <c:pt idx="31">
                  <c:v>99945280000</c:v>
                </c:pt>
                <c:pt idx="32">
                  <c:v>99409630000</c:v>
                </c:pt>
                <c:pt idx="33">
                  <c:v>98873480000</c:v>
                </c:pt>
                <c:pt idx="34">
                  <c:v>98336860000</c:v>
                </c:pt>
                <c:pt idx="35">
                  <c:v>97799740000</c:v>
                </c:pt>
                <c:pt idx="36">
                  <c:v>97262140000</c:v>
                </c:pt>
                <c:pt idx="37">
                  <c:v>96724050000</c:v>
                </c:pt>
                <c:pt idx="38">
                  <c:v>96185470000</c:v>
                </c:pt>
                <c:pt idx="39">
                  <c:v>95646400000</c:v>
                </c:pt>
                <c:pt idx="40">
                  <c:v>95106850000</c:v>
                </c:pt>
                <c:pt idx="41">
                  <c:v>94566810000</c:v>
                </c:pt>
                <c:pt idx="42">
                  <c:v>94026290000</c:v>
                </c:pt>
                <c:pt idx="43">
                  <c:v>93485280000</c:v>
                </c:pt>
                <c:pt idx="44">
                  <c:v>92943790000</c:v>
                </c:pt>
                <c:pt idx="45">
                  <c:v>92401800000</c:v>
                </c:pt>
                <c:pt idx="46">
                  <c:v>91859340000</c:v>
                </c:pt>
                <c:pt idx="47">
                  <c:v>91316380000</c:v>
                </c:pt>
                <c:pt idx="48">
                  <c:v>90772950000</c:v>
                </c:pt>
                <c:pt idx="49">
                  <c:v>90229020000</c:v>
                </c:pt>
                <c:pt idx="50">
                  <c:v>89684610000</c:v>
                </c:pt>
                <c:pt idx="51">
                  <c:v>89139710000</c:v>
                </c:pt>
                <c:pt idx="52">
                  <c:v>88594330000</c:v>
                </c:pt>
                <c:pt idx="53">
                  <c:v>88048460000</c:v>
                </c:pt>
                <c:pt idx="54">
                  <c:v>87502110000</c:v>
                </c:pt>
                <c:pt idx="55">
                  <c:v>86955270000</c:v>
                </c:pt>
                <c:pt idx="56">
                  <c:v>86407940000</c:v>
                </c:pt>
                <c:pt idx="57">
                  <c:v>85860130000</c:v>
                </c:pt>
                <c:pt idx="58">
                  <c:v>85311830000</c:v>
                </c:pt>
                <c:pt idx="59">
                  <c:v>84763050000</c:v>
                </c:pt>
                <c:pt idx="60">
                  <c:v>84213780000</c:v>
                </c:pt>
                <c:pt idx="61">
                  <c:v>83664030000</c:v>
                </c:pt>
                <c:pt idx="62">
                  <c:v>83113790000</c:v>
                </c:pt>
                <c:pt idx="63">
                  <c:v>82563060000</c:v>
                </c:pt>
                <c:pt idx="64">
                  <c:v>82011850000</c:v>
                </c:pt>
                <c:pt idx="65">
                  <c:v>81460150000</c:v>
                </c:pt>
                <c:pt idx="66">
                  <c:v>80907960000</c:v>
                </c:pt>
                <c:pt idx="67">
                  <c:v>80355290000</c:v>
                </c:pt>
                <c:pt idx="68">
                  <c:v>79802130000</c:v>
                </c:pt>
                <c:pt idx="69">
                  <c:v>79248490000</c:v>
                </c:pt>
                <c:pt idx="70">
                  <c:v>78694350000</c:v>
                </c:pt>
                <c:pt idx="71">
                  <c:v>78192550000</c:v>
                </c:pt>
                <c:pt idx="72">
                  <c:v>77702220000</c:v>
                </c:pt>
                <c:pt idx="73">
                  <c:v>77223870000</c:v>
                </c:pt>
                <c:pt idx="74">
                  <c:v>76758050000</c:v>
                </c:pt>
                <c:pt idx="75">
                  <c:v>76305440000</c:v>
                </c:pt>
                <c:pt idx="76">
                  <c:v>75866770000</c:v>
                </c:pt>
                <c:pt idx="77">
                  <c:v>75442930000</c:v>
                </c:pt>
                <c:pt idx="78">
                  <c:v>75034910000</c:v>
                </c:pt>
                <c:pt idx="79">
                  <c:v>74643880000</c:v>
                </c:pt>
                <c:pt idx="80">
                  <c:v>74271190000</c:v>
                </c:pt>
                <c:pt idx="81">
                  <c:v>73918390000</c:v>
                </c:pt>
                <c:pt idx="82">
                  <c:v>73587340000</c:v>
                </c:pt>
                <c:pt idx="83">
                  <c:v>73280170000</c:v>
                </c:pt>
                <c:pt idx="84">
                  <c:v>72999390000</c:v>
                </c:pt>
                <c:pt idx="85">
                  <c:v>72747880000</c:v>
                </c:pt>
                <c:pt idx="86">
                  <c:v>72528940000</c:v>
                </c:pt>
                <c:pt idx="87">
                  <c:v>72346140000</c:v>
                </c:pt>
                <c:pt idx="88">
                  <c:v>72203380000</c:v>
                </c:pt>
                <c:pt idx="89">
                  <c:v>72104210000</c:v>
                </c:pt>
                <c:pt idx="90">
                  <c:v>72051380000</c:v>
                </c:pt>
                <c:pt idx="91">
                  <c:v>72045670000</c:v>
                </c:pt>
                <c:pt idx="92">
                  <c:v>72084300000</c:v>
                </c:pt>
                <c:pt idx="93">
                  <c:v>72158940000</c:v>
                </c:pt>
                <c:pt idx="94">
                  <c:v>72254000000</c:v>
                </c:pt>
                <c:pt idx="95">
                  <c:v>72346110000</c:v>
                </c:pt>
                <c:pt idx="96">
                  <c:v>72405900000</c:v>
                </c:pt>
                <c:pt idx="97">
                  <c:v>72401830000</c:v>
                </c:pt>
                <c:pt idx="98">
                  <c:v>72304840000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A1-48E7-B33A-1FE921E86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18352"/>
        <c:axId val="1187520272"/>
      </c:scatterChart>
      <c:valAx>
        <c:axId val="118751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20272"/>
        <c:crosses val="autoZero"/>
        <c:crossBetween val="midCat"/>
      </c:valAx>
      <c:valAx>
        <c:axId val="118752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1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(2)'!$F$1</c:f>
              <c:strCache>
                <c:ptCount val="1"/>
                <c:pt idx="0">
                  <c:v>Poisson ratio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(2)'!$F$2:$F$100</c:f>
              <c:numCache>
                <c:formatCode>0.00000</c:formatCode>
                <c:ptCount val="99"/>
                <c:pt idx="0">
                  <c:v>0.31797999999999998</c:v>
                </c:pt>
                <c:pt idx="1">
                  <c:v>0.31818000000000002</c:v>
                </c:pt>
                <c:pt idx="2">
                  <c:v>0.31857000000000002</c:v>
                </c:pt>
                <c:pt idx="3">
                  <c:v>0.31896000000000002</c:v>
                </c:pt>
                <c:pt idx="4">
                  <c:v>0.31934000000000001</c:v>
                </c:pt>
                <c:pt idx="5">
                  <c:v>0.31974000000000002</c:v>
                </c:pt>
                <c:pt idx="6">
                  <c:v>0.32013000000000003</c:v>
                </c:pt>
                <c:pt idx="7">
                  <c:v>0.32052000000000003</c:v>
                </c:pt>
                <c:pt idx="8">
                  <c:v>0.32090999999999997</c:v>
                </c:pt>
                <c:pt idx="9">
                  <c:v>0.32130999999999998</c:v>
                </c:pt>
                <c:pt idx="10">
                  <c:v>0.32169999999999999</c:v>
                </c:pt>
                <c:pt idx="11">
                  <c:v>0.3221</c:v>
                </c:pt>
                <c:pt idx="12">
                  <c:v>0.32249</c:v>
                </c:pt>
                <c:pt idx="13">
                  <c:v>0.32289000000000001</c:v>
                </c:pt>
                <c:pt idx="14">
                  <c:v>0.32329000000000002</c:v>
                </c:pt>
                <c:pt idx="15">
                  <c:v>0.32368999999999998</c:v>
                </c:pt>
                <c:pt idx="16">
                  <c:v>0.32408999999999999</c:v>
                </c:pt>
                <c:pt idx="17">
                  <c:v>0.32449</c:v>
                </c:pt>
                <c:pt idx="18">
                  <c:v>0.32489000000000001</c:v>
                </c:pt>
                <c:pt idx="19">
                  <c:v>0.32529999999999998</c:v>
                </c:pt>
                <c:pt idx="20">
                  <c:v>0.32569999999999999</c:v>
                </c:pt>
                <c:pt idx="21">
                  <c:v>0.3261</c:v>
                </c:pt>
                <c:pt idx="22">
                  <c:v>0.32651000000000002</c:v>
                </c:pt>
                <c:pt idx="23">
                  <c:v>0.32691999999999999</c:v>
                </c:pt>
                <c:pt idx="24">
                  <c:v>0.32732</c:v>
                </c:pt>
                <c:pt idx="25">
                  <c:v>0.32773000000000002</c:v>
                </c:pt>
                <c:pt idx="26">
                  <c:v>0.32813999999999999</c:v>
                </c:pt>
                <c:pt idx="27">
                  <c:v>0.32855000000000001</c:v>
                </c:pt>
                <c:pt idx="28">
                  <c:v>0.32895999999999997</c:v>
                </c:pt>
                <c:pt idx="29">
                  <c:v>0.32937</c:v>
                </c:pt>
                <c:pt idx="30">
                  <c:v>0.32978000000000002</c:v>
                </c:pt>
                <c:pt idx="31">
                  <c:v>0.33019999999999999</c:v>
                </c:pt>
                <c:pt idx="32">
                  <c:v>0.33061000000000001</c:v>
                </c:pt>
                <c:pt idx="33">
                  <c:v>0.33102999999999999</c:v>
                </c:pt>
                <c:pt idx="34">
                  <c:v>0.33144000000000001</c:v>
                </c:pt>
                <c:pt idx="35">
                  <c:v>0.33185999999999999</c:v>
                </c:pt>
                <c:pt idx="36">
                  <c:v>0.33228000000000002</c:v>
                </c:pt>
                <c:pt idx="37">
                  <c:v>0.3327</c:v>
                </c:pt>
                <c:pt idx="38">
                  <c:v>0.33312000000000003</c:v>
                </c:pt>
                <c:pt idx="39">
                  <c:v>0.33354</c:v>
                </c:pt>
                <c:pt idx="40">
                  <c:v>0.33395999999999998</c:v>
                </c:pt>
                <c:pt idx="41">
                  <c:v>0.33438000000000001</c:v>
                </c:pt>
                <c:pt idx="42">
                  <c:v>0.33479999999999999</c:v>
                </c:pt>
                <c:pt idx="43">
                  <c:v>0.33522999999999997</c:v>
                </c:pt>
                <c:pt idx="44">
                  <c:v>0.33565</c:v>
                </c:pt>
                <c:pt idx="45">
                  <c:v>0.33607999999999999</c:v>
                </c:pt>
                <c:pt idx="46">
                  <c:v>0.33650999999999998</c:v>
                </c:pt>
                <c:pt idx="47">
                  <c:v>0.33693000000000001</c:v>
                </c:pt>
                <c:pt idx="48">
                  <c:v>0.33735999999999999</c:v>
                </c:pt>
                <c:pt idx="49">
                  <c:v>0.33778999999999998</c:v>
                </c:pt>
                <c:pt idx="50">
                  <c:v>0.33822000000000002</c:v>
                </c:pt>
                <c:pt idx="51">
                  <c:v>0.33865000000000001</c:v>
                </c:pt>
                <c:pt idx="52">
                  <c:v>0.33907999999999999</c:v>
                </c:pt>
                <c:pt idx="53">
                  <c:v>0.33951999999999999</c:v>
                </c:pt>
                <c:pt idx="54">
                  <c:v>0.33994999999999997</c:v>
                </c:pt>
                <c:pt idx="55">
                  <c:v>0.34038000000000002</c:v>
                </c:pt>
                <c:pt idx="56">
                  <c:v>0.34082000000000001</c:v>
                </c:pt>
                <c:pt idx="57">
                  <c:v>0.34126000000000001</c:v>
                </c:pt>
                <c:pt idx="58">
                  <c:v>0.34168999999999999</c:v>
                </c:pt>
                <c:pt idx="59">
                  <c:v>0.34212999999999999</c:v>
                </c:pt>
                <c:pt idx="60">
                  <c:v>0.34256999999999999</c:v>
                </c:pt>
                <c:pt idx="61">
                  <c:v>0.34300999999999998</c:v>
                </c:pt>
                <c:pt idx="62">
                  <c:v>0.34344999999999998</c:v>
                </c:pt>
                <c:pt idx="63">
                  <c:v>0.34388999999999997</c:v>
                </c:pt>
                <c:pt idx="64">
                  <c:v>0.34433000000000002</c:v>
                </c:pt>
                <c:pt idx="65">
                  <c:v>0.34477999999999998</c:v>
                </c:pt>
                <c:pt idx="66">
                  <c:v>0.34522000000000003</c:v>
                </c:pt>
                <c:pt idx="67">
                  <c:v>0.34566999999999998</c:v>
                </c:pt>
                <c:pt idx="68">
                  <c:v>0.34610999999999997</c:v>
                </c:pt>
                <c:pt idx="69">
                  <c:v>0.34655999999999998</c:v>
                </c:pt>
                <c:pt idx="70">
                  <c:v>0.34700999999999999</c:v>
                </c:pt>
                <c:pt idx="71">
                  <c:v>0.34755999999999998</c:v>
                </c:pt>
                <c:pt idx="72">
                  <c:v>0.34814000000000001</c:v>
                </c:pt>
                <c:pt idx="73">
                  <c:v>0.34871999999999997</c:v>
                </c:pt>
                <c:pt idx="74">
                  <c:v>0.34932999999999997</c:v>
                </c:pt>
                <c:pt idx="75">
                  <c:v>0.34994999999999998</c:v>
                </c:pt>
                <c:pt idx="76">
                  <c:v>0.35060000000000002</c:v>
                </c:pt>
                <c:pt idx="77">
                  <c:v>0.35127000000000003</c:v>
                </c:pt>
                <c:pt idx="78">
                  <c:v>0.35197000000000001</c:v>
                </c:pt>
                <c:pt idx="79">
                  <c:v>0.35271000000000002</c:v>
                </c:pt>
                <c:pt idx="80">
                  <c:v>0.35348000000000002</c:v>
                </c:pt>
                <c:pt idx="81">
                  <c:v>0.3543</c:v>
                </c:pt>
                <c:pt idx="82">
                  <c:v>0.35515999999999998</c:v>
                </c:pt>
                <c:pt idx="83">
                  <c:v>0.35608000000000001</c:v>
                </c:pt>
                <c:pt idx="84">
                  <c:v>0.35705999999999999</c:v>
                </c:pt>
                <c:pt idx="85">
                  <c:v>0.35810999999999998</c:v>
                </c:pt>
                <c:pt idx="86">
                  <c:v>0.35922999999999999</c:v>
                </c:pt>
                <c:pt idx="87">
                  <c:v>0.36043999999999998</c:v>
                </c:pt>
                <c:pt idx="88">
                  <c:v>0.36174000000000001</c:v>
                </c:pt>
                <c:pt idx="89">
                  <c:v>0.36314999999999997</c:v>
                </c:pt>
                <c:pt idx="90">
                  <c:v>0.36465999999999998</c:v>
                </c:pt>
                <c:pt idx="91">
                  <c:v>0.36626999999999998</c:v>
                </c:pt>
                <c:pt idx="92">
                  <c:v>0.36797999999999997</c:v>
                </c:pt>
                <c:pt idx="93">
                  <c:v>0.36979000000000001</c:v>
                </c:pt>
                <c:pt idx="94">
                  <c:v>0.37165999999999999</c:v>
                </c:pt>
                <c:pt idx="95">
                  <c:v>0.37356</c:v>
                </c:pt>
                <c:pt idx="96">
                  <c:v>0.37546000000000002</c:v>
                </c:pt>
                <c:pt idx="97">
                  <c:v>0.37730999999999998</c:v>
                </c:pt>
                <c:pt idx="98">
                  <c:v>0.37902999999999998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02-4645-9403-2EFF7D88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68432"/>
        <c:axId val="1187460272"/>
      </c:scatterChart>
      <c:valAx>
        <c:axId val="118746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0272"/>
        <c:crosses val="autoZero"/>
        <c:crossBetween val="midCat"/>
      </c:valAx>
      <c:valAx>
        <c:axId val="11874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(2)'!$G$1</c:f>
              <c:strCache>
                <c:ptCount val="1"/>
                <c:pt idx="0">
                  <c:v>Specific heat (J/(kg·K))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(2)'!$G$2:$G$100</c:f>
              <c:numCache>
                <c:formatCode>0.00</c:formatCode>
                <c:ptCount val="99"/>
                <c:pt idx="0">
                  <c:v>549.66999999999996</c:v>
                </c:pt>
                <c:pt idx="1">
                  <c:v>551.69000000000005</c:v>
                </c:pt>
                <c:pt idx="2">
                  <c:v>555.57000000000005</c:v>
                </c:pt>
                <c:pt idx="3">
                  <c:v>559.26</c:v>
                </c:pt>
                <c:pt idx="4">
                  <c:v>562.79999999999995</c:v>
                </c:pt>
                <c:pt idx="5">
                  <c:v>566.18000000000006</c:v>
                </c:pt>
                <c:pt idx="6">
                  <c:v>569.43999999999994</c:v>
                </c:pt>
                <c:pt idx="7">
                  <c:v>572.57999999999993</c:v>
                </c:pt>
                <c:pt idx="8">
                  <c:v>575.62</c:v>
                </c:pt>
                <c:pt idx="9">
                  <c:v>578.57000000000005</c:v>
                </c:pt>
                <c:pt idx="10">
                  <c:v>581.43999999999994</c:v>
                </c:pt>
                <c:pt idx="11">
                  <c:v>584.23</c:v>
                </c:pt>
                <c:pt idx="12">
                  <c:v>586.94999999999993</c:v>
                </c:pt>
                <c:pt idx="13">
                  <c:v>589.62</c:v>
                </c:pt>
                <c:pt idx="14">
                  <c:v>592.21999999999991</c:v>
                </c:pt>
                <c:pt idx="15">
                  <c:v>594.78</c:v>
                </c:pt>
                <c:pt idx="16">
                  <c:v>597.29</c:v>
                </c:pt>
                <c:pt idx="17">
                  <c:v>599.76</c:v>
                </c:pt>
                <c:pt idx="18">
                  <c:v>602.19000000000005</c:v>
                </c:pt>
                <c:pt idx="19">
                  <c:v>604.58000000000004</c:v>
                </c:pt>
                <c:pt idx="20">
                  <c:v>606.94000000000005</c:v>
                </c:pt>
                <c:pt idx="21">
                  <c:v>609.27</c:v>
                </c:pt>
                <c:pt idx="22">
                  <c:v>611.58000000000004</c:v>
                </c:pt>
                <c:pt idx="23">
                  <c:v>613.86</c:v>
                </c:pt>
                <c:pt idx="24">
                  <c:v>616.11</c:v>
                </c:pt>
                <c:pt idx="25">
                  <c:v>618.34999999999991</c:v>
                </c:pt>
                <c:pt idx="26">
                  <c:v>620.55999999999995</c:v>
                </c:pt>
                <c:pt idx="27">
                  <c:v>622.75</c:v>
                </c:pt>
                <c:pt idx="28">
                  <c:v>624.92999999999995</c:v>
                </c:pt>
                <c:pt idx="29">
                  <c:v>627.09</c:v>
                </c:pt>
                <c:pt idx="30">
                  <c:v>629.24</c:v>
                </c:pt>
                <c:pt idx="31">
                  <c:v>631.37</c:v>
                </c:pt>
                <c:pt idx="32">
                  <c:v>633.49</c:v>
                </c:pt>
                <c:pt idx="33">
                  <c:v>635.6</c:v>
                </c:pt>
                <c:pt idx="34">
                  <c:v>637.68999999999994</c:v>
                </c:pt>
                <c:pt idx="35">
                  <c:v>639.78</c:v>
                </c:pt>
                <c:pt idx="36">
                  <c:v>641.85</c:v>
                </c:pt>
                <c:pt idx="37">
                  <c:v>643.92000000000007</c:v>
                </c:pt>
                <c:pt idx="38">
                  <c:v>645.97</c:v>
                </c:pt>
                <c:pt idx="39">
                  <c:v>648.0200000000001</c:v>
                </c:pt>
                <c:pt idx="40">
                  <c:v>650.05999999999995</c:v>
                </c:pt>
                <c:pt idx="41">
                  <c:v>652.1</c:v>
                </c:pt>
                <c:pt idx="42">
                  <c:v>654.1400000000001</c:v>
                </c:pt>
                <c:pt idx="43">
                  <c:v>656.19</c:v>
                </c:pt>
                <c:pt idx="44">
                  <c:v>658.25</c:v>
                </c:pt>
                <c:pt idx="45">
                  <c:v>660.32</c:v>
                </c:pt>
                <c:pt idx="46">
                  <c:v>662.39</c:v>
                </c:pt>
                <c:pt idx="47">
                  <c:v>664.4799999999999</c:v>
                </c:pt>
                <c:pt idx="48">
                  <c:v>666.57</c:v>
                </c:pt>
                <c:pt idx="49">
                  <c:v>668.68000000000006</c:v>
                </c:pt>
                <c:pt idx="50">
                  <c:v>670.79</c:v>
                </c:pt>
                <c:pt idx="51">
                  <c:v>672.92</c:v>
                </c:pt>
                <c:pt idx="52">
                  <c:v>675.06999999999994</c:v>
                </c:pt>
                <c:pt idx="53">
                  <c:v>677.22</c:v>
                </c:pt>
                <c:pt idx="54">
                  <c:v>679.38</c:v>
                </c:pt>
                <c:pt idx="55">
                  <c:v>681.56000000000006</c:v>
                </c:pt>
                <c:pt idx="56">
                  <c:v>683.75</c:v>
                </c:pt>
                <c:pt idx="57">
                  <c:v>685.94999999999993</c:v>
                </c:pt>
                <c:pt idx="58">
                  <c:v>688.17</c:v>
                </c:pt>
                <c:pt idx="59">
                  <c:v>690.39</c:v>
                </c:pt>
                <c:pt idx="60">
                  <c:v>692.63</c:v>
                </c:pt>
                <c:pt idx="61">
                  <c:v>694.85</c:v>
                </c:pt>
                <c:pt idx="62">
                  <c:v>697.25</c:v>
                </c:pt>
                <c:pt idx="63">
                  <c:v>699.68</c:v>
                </c:pt>
                <c:pt idx="64">
                  <c:v>702.13</c:v>
                </c:pt>
                <c:pt idx="65">
                  <c:v>703.42000000000007</c:v>
                </c:pt>
                <c:pt idx="66">
                  <c:v>704.73</c:v>
                </c:pt>
                <c:pt idx="67">
                  <c:v>706.09</c:v>
                </c:pt>
                <c:pt idx="68">
                  <c:v>707.5</c:v>
                </c:pt>
                <c:pt idx="69">
                  <c:v>708.94999999999993</c:v>
                </c:pt>
                <c:pt idx="70">
                  <c:v>763.73</c:v>
                </c:pt>
                <c:pt idx="71">
                  <c:v>769.59</c:v>
                </c:pt>
                <c:pt idx="72">
                  <c:v>776.22</c:v>
                </c:pt>
                <c:pt idx="73">
                  <c:v>783.73</c:v>
                </c:pt>
                <c:pt idx="74">
                  <c:v>792.23</c:v>
                </c:pt>
                <c:pt idx="75">
                  <c:v>801.84</c:v>
                </c:pt>
                <c:pt idx="76">
                  <c:v>812.71</c:v>
                </c:pt>
                <c:pt idx="77">
                  <c:v>824.85</c:v>
                </c:pt>
                <c:pt idx="78">
                  <c:v>838.73</c:v>
                </c:pt>
                <c:pt idx="79">
                  <c:v>854.40000000000009</c:v>
                </c:pt>
                <c:pt idx="80">
                  <c:v>872.09</c:v>
                </c:pt>
                <c:pt idx="81">
                  <c:v>892.02</c:v>
                </c:pt>
                <c:pt idx="82">
                  <c:v>913.34</c:v>
                </c:pt>
                <c:pt idx="83">
                  <c:v>938.25</c:v>
                </c:pt>
                <c:pt idx="84">
                  <c:v>964.9</c:v>
                </c:pt>
                <c:pt idx="85">
                  <c:v>995.53</c:v>
                </c:pt>
                <c:pt idx="86">
                  <c:v>1029</c:v>
                </c:pt>
                <c:pt idx="87">
                  <c:v>1064.8</c:v>
                </c:pt>
                <c:pt idx="88">
                  <c:v>1100.3800000000001</c:v>
                </c:pt>
                <c:pt idx="89">
                  <c:v>1138.3699999999999</c:v>
                </c:pt>
                <c:pt idx="90">
                  <c:v>1175.06</c:v>
                </c:pt>
                <c:pt idx="91">
                  <c:v>1205.6600000000001</c:v>
                </c:pt>
                <c:pt idx="92">
                  <c:v>1230.2</c:v>
                </c:pt>
                <c:pt idx="93">
                  <c:v>1241.4100000000001</c:v>
                </c:pt>
                <c:pt idx="94">
                  <c:v>1238.3599999999999</c:v>
                </c:pt>
                <c:pt idx="95">
                  <c:v>1217.1199999999999</c:v>
                </c:pt>
                <c:pt idx="96">
                  <c:v>1175.6400000000001</c:v>
                </c:pt>
                <c:pt idx="97">
                  <c:v>1117.26</c:v>
                </c:pt>
                <c:pt idx="98">
                  <c:v>1042.3399999999999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4-4473-B5EE-7C152CFF6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851904"/>
        <c:axId val="1242851424"/>
      </c:scatterChart>
      <c:valAx>
        <c:axId val="124285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424"/>
        <c:crosses val="autoZero"/>
        <c:crossBetween val="midCat"/>
      </c:valAx>
      <c:valAx>
        <c:axId val="12428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(3)'!$B$1</c:f>
              <c:strCache>
                <c:ptCount val="1"/>
                <c:pt idx="0">
                  <c:v>Density (kg/m^3)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0263446066151943E-2"/>
                  <c:y val="-2.478856809565471E-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(3)'!$B$2:$B$67</c:f>
              <c:numCache>
                <c:formatCode>0.00</c:formatCode>
                <c:ptCount val="66"/>
                <c:pt idx="0">
                  <c:v>4420.7299999999996</c:v>
                </c:pt>
                <c:pt idx="1">
                  <c:v>4420.1400000000003</c:v>
                </c:pt>
                <c:pt idx="2">
                  <c:v>4418.95</c:v>
                </c:pt>
                <c:pt idx="3">
                  <c:v>4417.76</c:v>
                </c:pt>
                <c:pt idx="4">
                  <c:v>4416.5599999999986</c:v>
                </c:pt>
                <c:pt idx="5">
                  <c:v>4415.3500000000004</c:v>
                </c:pt>
                <c:pt idx="6">
                  <c:v>4414.13</c:v>
                </c:pt>
                <c:pt idx="7">
                  <c:v>4412.91</c:v>
                </c:pt>
                <c:pt idx="8">
                  <c:v>4411.6799999999994</c:v>
                </c:pt>
                <c:pt idx="9">
                  <c:v>4410.4400000000014</c:v>
                </c:pt>
                <c:pt idx="10">
                  <c:v>4409.2</c:v>
                </c:pt>
                <c:pt idx="11">
                  <c:v>4407.95</c:v>
                </c:pt>
                <c:pt idx="12">
                  <c:v>4406.6900000000014</c:v>
                </c:pt>
                <c:pt idx="13">
                  <c:v>4405.42</c:v>
                </c:pt>
                <c:pt idx="14">
                  <c:v>4404.1499999999996</c:v>
                </c:pt>
                <c:pt idx="15">
                  <c:v>4402.87</c:v>
                </c:pt>
                <c:pt idx="16">
                  <c:v>4401.58</c:v>
                </c:pt>
                <c:pt idx="17">
                  <c:v>4400.29</c:v>
                </c:pt>
                <c:pt idx="18">
                  <c:v>4398.9900000000007</c:v>
                </c:pt>
                <c:pt idx="19">
                  <c:v>4397.68</c:v>
                </c:pt>
                <c:pt idx="20">
                  <c:v>4396.3599999999997</c:v>
                </c:pt>
                <c:pt idx="21">
                  <c:v>4395.04</c:v>
                </c:pt>
                <c:pt idx="22">
                  <c:v>4393.7099999999991</c:v>
                </c:pt>
                <c:pt idx="23">
                  <c:v>4392.38</c:v>
                </c:pt>
                <c:pt idx="24">
                  <c:v>4391.03</c:v>
                </c:pt>
                <c:pt idx="25">
                  <c:v>4389.68</c:v>
                </c:pt>
                <c:pt idx="26">
                  <c:v>4388.33</c:v>
                </c:pt>
                <c:pt idx="27">
                  <c:v>4386.97</c:v>
                </c:pt>
                <c:pt idx="28">
                  <c:v>4385.6000000000004</c:v>
                </c:pt>
                <c:pt idx="29">
                  <c:v>4384.22</c:v>
                </c:pt>
                <c:pt idx="30">
                  <c:v>4382.84</c:v>
                </c:pt>
                <c:pt idx="31">
                  <c:v>4381.45</c:v>
                </c:pt>
                <c:pt idx="32">
                  <c:v>4380.05</c:v>
                </c:pt>
                <c:pt idx="33">
                  <c:v>4378.6500000000005</c:v>
                </c:pt>
                <c:pt idx="34">
                  <c:v>4377.24</c:v>
                </c:pt>
                <c:pt idx="35">
                  <c:v>4375.82</c:v>
                </c:pt>
                <c:pt idx="36">
                  <c:v>4374.3999999999996</c:v>
                </c:pt>
                <c:pt idx="37">
                  <c:v>4372.9699999999993</c:v>
                </c:pt>
                <c:pt idx="38">
                  <c:v>4371.53</c:v>
                </c:pt>
                <c:pt idx="39">
                  <c:v>4370.09</c:v>
                </c:pt>
                <c:pt idx="40">
                  <c:v>4368.6400000000003</c:v>
                </c:pt>
                <c:pt idx="41">
                  <c:v>4367.18</c:v>
                </c:pt>
                <c:pt idx="42">
                  <c:v>4365.7199999999993</c:v>
                </c:pt>
                <c:pt idx="43">
                  <c:v>4364.25</c:v>
                </c:pt>
                <c:pt idx="44">
                  <c:v>4362.78</c:v>
                </c:pt>
                <c:pt idx="45">
                  <c:v>4361.3</c:v>
                </c:pt>
                <c:pt idx="46">
                  <c:v>4359.8100000000004</c:v>
                </c:pt>
                <c:pt idx="47">
                  <c:v>4358.32</c:v>
                </c:pt>
                <c:pt idx="48">
                  <c:v>4356.82</c:v>
                </c:pt>
                <c:pt idx="49">
                  <c:v>4355.3100000000004</c:v>
                </c:pt>
                <c:pt idx="50">
                  <c:v>4353.7999999999993</c:v>
                </c:pt>
                <c:pt idx="51">
                  <c:v>4352.2800000000007</c:v>
                </c:pt>
                <c:pt idx="52">
                  <c:v>4350.76</c:v>
                </c:pt>
                <c:pt idx="53">
                  <c:v>4349.2299999999996</c:v>
                </c:pt>
                <c:pt idx="54">
                  <c:v>4347.6900000000014</c:v>
                </c:pt>
                <c:pt idx="55">
                  <c:v>4346.1499999999996</c:v>
                </c:pt>
                <c:pt idx="56">
                  <c:v>4344.5999999999995</c:v>
                </c:pt>
                <c:pt idx="57">
                  <c:v>4343.04</c:v>
                </c:pt>
                <c:pt idx="58">
                  <c:v>4341.4799999999996</c:v>
                </c:pt>
                <c:pt idx="59">
                  <c:v>4339.92</c:v>
                </c:pt>
                <c:pt idx="60">
                  <c:v>4338.3399999999992</c:v>
                </c:pt>
                <c:pt idx="61">
                  <c:v>4336.7700000000004</c:v>
                </c:pt>
                <c:pt idx="62">
                  <c:v>4335.18</c:v>
                </c:pt>
                <c:pt idx="63">
                  <c:v>4333.59</c:v>
                </c:pt>
                <c:pt idx="64">
                  <c:v>4331.99</c:v>
                </c:pt>
                <c:pt idx="65">
                  <c:v>4330.3900000000003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13F-417A-A295-563A31138C3C}"/>
            </c:ext>
          </c:extLst>
        </c:ser>
        <c:ser>
          <c:idx val="1"/>
          <c:order val="1"/>
          <c:tx>
            <c:v>Density_Fit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(3)'!$P$2:$P$67</c:f>
              <c:numCache>
                <c:formatCode>General</c:formatCode>
                <c:ptCount val="66"/>
                <c:pt idx="0">
                  <c:v>4422.973115704096</c:v>
                </c:pt>
                <c:pt idx="1">
                  <c:v>4422.2727475061147</c:v>
                </c:pt>
                <c:pt idx="2">
                  <c:v>4420.872011110152</c:v>
                </c:pt>
                <c:pt idx="3">
                  <c:v>4419.4712747141903</c:v>
                </c:pt>
                <c:pt idx="4">
                  <c:v>4418.0705383182276</c:v>
                </c:pt>
                <c:pt idx="5">
                  <c:v>4416.6698019222658</c:v>
                </c:pt>
                <c:pt idx="6">
                  <c:v>4415.2690655263032</c:v>
                </c:pt>
                <c:pt idx="7">
                  <c:v>4413.8683291303405</c:v>
                </c:pt>
                <c:pt idx="8">
                  <c:v>4412.4675927343787</c:v>
                </c:pt>
                <c:pt idx="9">
                  <c:v>4411.0668563384161</c:v>
                </c:pt>
                <c:pt idx="10">
                  <c:v>4409.6661199424543</c:v>
                </c:pt>
                <c:pt idx="11">
                  <c:v>4408.2653835464916</c:v>
                </c:pt>
                <c:pt idx="12">
                  <c:v>4406.8646471505299</c:v>
                </c:pt>
                <c:pt idx="13">
                  <c:v>4405.4639107545672</c:v>
                </c:pt>
                <c:pt idx="14">
                  <c:v>4404.0631743586046</c:v>
                </c:pt>
                <c:pt idx="15">
                  <c:v>4402.6624379626428</c:v>
                </c:pt>
                <c:pt idx="16">
                  <c:v>4401.2617015666801</c:v>
                </c:pt>
                <c:pt idx="17">
                  <c:v>4399.8609651707184</c:v>
                </c:pt>
                <c:pt idx="18">
                  <c:v>4398.4602287747557</c:v>
                </c:pt>
                <c:pt idx="19">
                  <c:v>4397.0594923787939</c:v>
                </c:pt>
                <c:pt idx="20">
                  <c:v>4395.6587559828313</c:v>
                </c:pt>
                <c:pt idx="21">
                  <c:v>4394.2580195868686</c:v>
                </c:pt>
                <c:pt idx="22">
                  <c:v>4392.8572831909069</c:v>
                </c:pt>
                <c:pt idx="23">
                  <c:v>4391.4565467949442</c:v>
                </c:pt>
                <c:pt idx="24">
                  <c:v>4390.0558103989824</c:v>
                </c:pt>
                <c:pt idx="25">
                  <c:v>4388.6550740030198</c:v>
                </c:pt>
                <c:pt idx="26">
                  <c:v>4387.254337607058</c:v>
                </c:pt>
                <c:pt idx="27">
                  <c:v>4385.8536012110953</c:v>
                </c:pt>
                <c:pt idx="28">
                  <c:v>4384.4528648151327</c:v>
                </c:pt>
                <c:pt idx="29">
                  <c:v>4383.0521284191709</c:v>
                </c:pt>
                <c:pt idx="30">
                  <c:v>4381.6513920232082</c:v>
                </c:pt>
                <c:pt idx="31">
                  <c:v>4380.2506556272465</c:v>
                </c:pt>
                <c:pt idx="32">
                  <c:v>4378.8499192312838</c:v>
                </c:pt>
                <c:pt idx="33">
                  <c:v>4377.4491828353221</c:v>
                </c:pt>
                <c:pt idx="34">
                  <c:v>4376.0484464393594</c:v>
                </c:pt>
                <c:pt idx="35">
                  <c:v>4374.6477100433967</c:v>
                </c:pt>
                <c:pt idx="36">
                  <c:v>4373.246973647435</c:v>
                </c:pt>
                <c:pt idx="37">
                  <c:v>4371.8462372514723</c:v>
                </c:pt>
                <c:pt idx="38">
                  <c:v>4370.4455008555105</c:v>
                </c:pt>
                <c:pt idx="39">
                  <c:v>4369.0447644595479</c:v>
                </c:pt>
                <c:pt idx="40">
                  <c:v>4367.6440280635861</c:v>
                </c:pt>
                <c:pt idx="41">
                  <c:v>4366.2432916676235</c:v>
                </c:pt>
                <c:pt idx="42">
                  <c:v>4364.8425552716608</c:v>
                </c:pt>
                <c:pt idx="43">
                  <c:v>4363.441818875699</c:v>
                </c:pt>
                <c:pt idx="44">
                  <c:v>4362.0410824797364</c:v>
                </c:pt>
                <c:pt idx="45">
                  <c:v>4360.6403460837746</c:v>
                </c:pt>
                <c:pt idx="46">
                  <c:v>4359.2396096878119</c:v>
                </c:pt>
                <c:pt idx="47">
                  <c:v>4357.8388732918502</c:v>
                </c:pt>
                <c:pt idx="48">
                  <c:v>4356.4381368958875</c:v>
                </c:pt>
                <c:pt idx="49">
                  <c:v>4355.0374004999248</c:v>
                </c:pt>
                <c:pt idx="50">
                  <c:v>4353.6366641039631</c:v>
                </c:pt>
                <c:pt idx="51">
                  <c:v>4352.2359277080004</c:v>
                </c:pt>
                <c:pt idx="52">
                  <c:v>4350.8351913120387</c:v>
                </c:pt>
                <c:pt idx="53">
                  <c:v>4349.434454916076</c:v>
                </c:pt>
                <c:pt idx="54">
                  <c:v>4348.0337185201142</c:v>
                </c:pt>
                <c:pt idx="55">
                  <c:v>4346.6329821241516</c:v>
                </c:pt>
                <c:pt idx="56">
                  <c:v>4345.2322457281889</c:v>
                </c:pt>
                <c:pt idx="57">
                  <c:v>4343.8315093322271</c:v>
                </c:pt>
                <c:pt idx="58">
                  <c:v>4342.4307729362645</c:v>
                </c:pt>
                <c:pt idx="59">
                  <c:v>4341.0300365403027</c:v>
                </c:pt>
                <c:pt idx="60">
                  <c:v>4339.62930014434</c:v>
                </c:pt>
                <c:pt idx="61">
                  <c:v>4338.2285637483783</c:v>
                </c:pt>
                <c:pt idx="62">
                  <c:v>4336.8278273524156</c:v>
                </c:pt>
                <c:pt idx="63">
                  <c:v>4335.427090956453</c:v>
                </c:pt>
                <c:pt idx="64">
                  <c:v>4334.0263545604912</c:v>
                </c:pt>
                <c:pt idx="65">
                  <c:v>4332.6256181645285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13F-417A-A295-563A31138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59088"/>
        <c:axId val="1750159568"/>
      </c:scatterChart>
      <c:valAx>
        <c:axId val="175015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568"/>
        <c:crosses val="autoZero"/>
        <c:crossBetween val="midCat"/>
      </c:valAx>
      <c:valAx>
        <c:axId val="175015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06518849802213"/>
          <c:y val="0.16228291383339274"/>
          <c:w val="0.78407481083655683"/>
          <c:h val="0.7775951745155925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'SI_Units (3)'!$C$1</c:f>
              <c:strCache>
                <c:ptCount val="1"/>
                <c:pt idx="0">
                  <c:v>Linear expansion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(3)'!$C$2:$C$67</c:f>
              <c:numCache>
                <c:formatCode>0.000000</c:formatCode>
                <c:ptCount val="66"/>
                <c:pt idx="0">
                  <c:v>0</c:v>
                </c:pt>
                <c:pt idx="1">
                  <c:v>4.4520000000000001E-5</c:v>
                </c:pt>
                <c:pt idx="2">
                  <c:v>1.3401400000000001E-4</c:v>
                </c:pt>
                <c:pt idx="3">
                  <c:v>2.2411100000000001E-4</c:v>
                </c:pt>
                <c:pt idx="4">
                  <c:v>3.1481199999999998E-4</c:v>
                </c:pt>
                <c:pt idx="5">
                  <c:v>4.0611500000000002E-4</c:v>
                </c:pt>
                <c:pt idx="6">
                  <c:v>4.9801900000000004E-4</c:v>
                </c:pt>
                <c:pt idx="7">
                  <c:v>5.9052300000000002E-4</c:v>
                </c:pt>
                <c:pt idx="8">
                  <c:v>6.8362700000000002E-4</c:v>
                </c:pt>
                <c:pt idx="9">
                  <c:v>7.7732899999999989E-4</c:v>
                </c:pt>
                <c:pt idx="10">
                  <c:v>8.7163000000000008E-4</c:v>
                </c:pt>
                <c:pt idx="11">
                  <c:v>9.665269999999999E-4</c:v>
                </c:pt>
                <c:pt idx="12">
                  <c:v>1.062E-3</c:v>
                </c:pt>
                <c:pt idx="13">
                  <c:v>1.1581E-3</c:v>
                </c:pt>
                <c:pt idx="14">
                  <c:v>1.2547999999999999E-3</c:v>
                </c:pt>
                <c:pt idx="15">
                  <c:v>1.3521E-3</c:v>
                </c:pt>
                <c:pt idx="16">
                  <c:v>1.4499000000000001E-3</c:v>
                </c:pt>
                <c:pt idx="17">
                  <c:v>1.5483999999999999E-3</c:v>
                </c:pt>
                <c:pt idx="18">
                  <c:v>1.6475000000000001E-3</c:v>
                </c:pt>
                <c:pt idx="19">
                  <c:v>1.7470999999999999E-3</c:v>
                </c:pt>
                <c:pt idx="20">
                  <c:v>1.8473000000000001E-3</c:v>
                </c:pt>
                <c:pt idx="21">
                  <c:v>1.9480999999999999E-3</c:v>
                </c:pt>
                <c:pt idx="22">
                  <c:v>2.0495999999999999E-3</c:v>
                </c:pt>
                <c:pt idx="23">
                  <c:v>2.1515000000000002E-3</c:v>
                </c:pt>
                <c:pt idx="24">
                  <c:v>2.2541000000000002E-3</c:v>
                </c:pt>
                <c:pt idx="25">
                  <c:v>2.3573000000000001E-3</c:v>
                </c:pt>
                <c:pt idx="26">
                  <c:v>2.4610000000000001E-3</c:v>
                </c:pt>
                <c:pt idx="27">
                  <c:v>2.5653999999999998E-3</c:v>
                </c:pt>
                <c:pt idx="28">
                  <c:v>2.6703E-3</c:v>
                </c:pt>
                <c:pt idx="29">
                  <c:v>2.7758000000000001E-3</c:v>
                </c:pt>
                <c:pt idx="30">
                  <c:v>2.8819000000000002E-3</c:v>
                </c:pt>
                <c:pt idx="31">
                  <c:v>2.9884999999999998E-3</c:v>
                </c:pt>
                <c:pt idx="32">
                  <c:v>3.0958000000000001E-3</c:v>
                </c:pt>
                <c:pt idx="33">
                  <c:v>3.2036E-3</c:v>
                </c:pt>
                <c:pt idx="34">
                  <c:v>3.3119999999999998E-3</c:v>
                </c:pt>
                <c:pt idx="35">
                  <c:v>3.4209000000000002E-3</c:v>
                </c:pt>
                <c:pt idx="36">
                  <c:v>3.5304999999999998E-3</c:v>
                </c:pt>
                <c:pt idx="37">
                  <c:v>3.6405999999999999E-3</c:v>
                </c:pt>
                <c:pt idx="38">
                  <c:v>3.7512999999999999E-3</c:v>
                </c:pt>
                <c:pt idx="39">
                  <c:v>3.8625E-3</c:v>
                </c:pt>
                <c:pt idx="40">
                  <c:v>3.9744000000000003E-3</c:v>
                </c:pt>
                <c:pt idx="41">
                  <c:v>4.0867999999999998E-3</c:v>
                </c:pt>
                <c:pt idx="42">
                  <c:v>4.1998000000000001E-3</c:v>
                </c:pt>
                <c:pt idx="43">
                  <c:v>4.3132999999999999E-3</c:v>
                </c:pt>
                <c:pt idx="44">
                  <c:v>4.4274000000000006E-3</c:v>
                </c:pt>
                <c:pt idx="45">
                  <c:v>4.5421000000000003E-3</c:v>
                </c:pt>
                <c:pt idx="46">
                  <c:v>4.6573999999999999E-3</c:v>
                </c:pt>
                <c:pt idx="47">
                  <c:v>4.7732E-3</c:v>
                </c:pt>
                <c:pt idx="48">
                  <c:v>4.8894999999999997E-3</c:v>
                </c:pt>
                <c:pt idx="49">
                  <c:v>5.0065000000000014E-3</c:v>
                </c:pt>
                <c:pt idx="50">
                  <c:v>5.1240000000000001E-3</c:v>
                </c:pt>
                <c:pt idx="51">
                  <c:v>5.2421000000000004E-3</c:v>
                </c:pt>
                <c:pt idx="52">
                  <c:v>5.3607000000000004E-3</c:v>
                </c:pt>
                <c:pt idx="53">
                  <c:v>5.4798999999999994E-3</c:v>
                </c:pt>
                <c:pt idx="54">
                  <c:v>5.5997E-3</c:v>
                </c:pt>
                <c:pt idx="55">
                  <c:v>5.7199999999999994E-3</c:v>
                </c:pt>
                <c:pt idx="56">
                  <c:v>5.8408000000000002E-3</c:v>
                </c:pt>
                <c:pt idx="57">
                  <c:v>5.9623000000000002E-3</c:v>
                </c:pt>
                <c:pt idx="58">
                  <c:v>6.0843E-3</c:v>
                </c:pt>
                <c:pt idx="59">
                  <c:v>6.2068000000000002E-3</c:v>
                </c:pt>
                <c:pt idx="60">
                  <c:v>6.3299000000000003E-3</c:v>
                </c:pt>
                <c:pt idx="61">
                  <c:v>6.4535E-3</c:v>
                </c:pt>
                <c:pt idx="62">
                  <c:v>6.5776999999999997E-3</c:v>
                </c:pt>
                <c:pt idx="63">
                  <c:v>6.7025000000000001E-3</c:v>
                </c:pt>
                <c:pt idx="64">
                  <c:v>6.8278000000000002E-3</c:v>
                </c:pt>
                <c:pt idx="65">
                  <c:v>6.9537000000000002E-3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A-4D45-BD21-8478E1C238C3}"/>
            </c:ext>
          </c:extLst>
        </c:ser>
        <c:ser>
          <c:idx val="1"/>
          <c:order val="1"/>
          <c:tx>
            <c:v>LinExp_Fit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(3)'!$Q$2:$Q$67</c:f>
              <c:numCache>
                <c:formatCode>General</c:formatCode>
                <c:ptCount val="66"/>
                <c:pt idx="0">
                  <c:v>-1.933177405123933E-4</c:v>
                </c:pt>
                <c:pt idx="1">
                  <c:v>-1.3944929131148951E-4</c:v>
                </c:pt>
                <c:pt idx="2">
                  <c:v>-3.1712392909682367E-5</c:v>
                </c:pt>
                <c:pt idx="3">
                  <c:v>7.6024505492124778E-5</c:v>
                </c:pt>
                <c:pt idx="4">
                  <c:v>1.8376140389393192E-4</c:v>
                </c:pt>
                <c:pt idx="5">
                  <c:v>2.9149830229573907E-4</c:v>
                </c:pt>
                <c:pt idx="6">
                  <c:v>3.9923520069754621E-4</c:v>
                </c:pt>
                <c:pt idx="7">
                  <c:v>5.0697209909935292E-4</c:v>
                </c:pt>
                <c:pt idx="8">
                  <c:v>6.147089975011605E-4</c:v>
                </c:pt>
                <c:pt idx="9">
                  <c:v>7.2244589590296721E-4</c:v>
                </c:pt>
                <c:pt idx="10">
                  <c:v>8.3018279430477479E-4</c:v>
                </c:pt>
                <c:pt idx="11">
                  <c:v>9.379196927065815E-4</c:v>
                </c:pt>
                <c:pt idx="12">
                  <c:v>1.0456565911083891E-3</c:v>
                </c:pt>
                <c:pt idx="13">
                  <c:v>1.1533934895101958E-3</c:v>
                </c:pt>
                <c:pt idx="14">
                  <c:v>1.2611303879120034E-3</c:v>
                </c:pt>
                <c:pt idx="15">
                  <c:v>1.3688672863138101E-3</c:v>
                </c:pt>
                <c:pt idx="16">
                  <c:v>1.4766041847156177E-3</c:v>
                </c:pt>
                <c:pt idx="17">
                  <c:v>1.5843410831174244E-3</c:v>
                </c:pt>
                <c:pt idx="18">
                  <c:v>1.6920779815192319E-3</c:v>
                </c:pt>
                <c:pt idx="19">
                  <c:v>1.7998148799210387E-3</c:v>
                </c:pt>
                <c:pt idx="20">
                  <c:v>1.9075517783228462E-3</c:v>
                </c:pt>
                <c:pt idx="21">
                  <c:v>2.0152886767246529E-3</c:v>
                </c:pt>
                <c:pt idx="22">
                  <c:v>2.1230255751264605E-3</c:v>
                </c:pt>
                <c:pt idx="23">
                  <c:v>2.2307624735282672E-3</c:v>
                </c:pt>
                <c:pt idx="24">
                  <c:v>2.3384993719300748E-3</c:v>
                </c:pt>
                <c:pt idx="25">
                  <c:v>2.4462362703318815E-3</c:v>
                </c:pt>
                <c:pt idx="26">
                  <c:v>2.5539731687336891E-3</c:v>
                </c:pt>
                <c:pt idx="27">
                  <c:v>2.6617100671354958E-3</c:v>
                </c:pt>
                <c:pt idx="28">
                  <c:v>2.7694469655373034E-3</c:v>
                </c:pt>
                <c:pt idx="29">
                  <c:v>2.8771838639391101E-3</c:v>
                </c:pt>
                <c:pt idx="30">
                  <c:v>2.9849207623409177E-3</c:v>
                </c:pt>
                <c:pt idx="31">
                  <c:v>3.0926576607427244E-3</c:v>
                </c:pt>
                <c:pt idx="32">
                  <c:v>3.200394559144532E-3</c:v>
                </c:pt>
                <c:pt idx="33">
                  <c:v>3.3081314575463387E-3</c:v>
                </c:pt>
                <c:pt idx="34">
                  <c:v>3.4158683559481454E-3</c:v>
                </c:pt>
                <c:pt idx="35">
                  <c:v>3.523605254349953E-3</c:v>
                </c:pt>
                <c:pt idx="36">
                  <c:v>3.6313421527517597E-3</c:v>
                </c:pt>
                <c:pt idx="37">
                  <c:v>3.7390790511535672E-3</c:v>
                </c:pt>
                <c:pt idx="38">
                  <c:v>3.846815949555374E-3</c:v>
                </c:pt>
                <c:pt idx="39">
                  <c:v>3.954552847957182E-3</c:v>
                </c:pt>
                <c:pt idx="40">
                  <c:v>4.0622897463589887E-3</c:v>
                </c:pt>
                <c:pt idx="41">
                  <c:v>4.1700266447607954E-3</c:v>
                </c:pt>
                <c:pt idx="42">
                  <c:v>4.2777635431626021E-3</c:v>
                </c:pt>
                <c:pt idx="43">
                  <c:v>4.3855004415644105E-3</c:v>
                </c:pt>
                <c:pt idx="44">
                  <c:v>4.4932373399662173E-3</c:v>
                </c:pt>
                <c:pt idx="45">
                  <c:v>4.600974238368024E-3</c:v>
                </c:pt>
                <c:pt idx="46">
                  <c:v>4.7087111367698307E-3</c:v>
                </c:pt>
                <c:pt idx="47">
                  <c:v>4.8164480351716374E-3</c:v>
                </c:pt>
                <c:pt idx="48">
                  <c:v>4.9241849335734458E-3</c:v>
                </c:pt>
                <c:pt idx="49">
                  <c:v>5.0319218319752525E-3</c:v>
                </c:pt>
                <c:pt idx="50">
                  <c:v>5.1396587303770593E-3</c:v>
                </c:pt>
                <c:pt idx="51">
                  <c:v>5.247395628778866E-3</c:v>
                </c:pt>
                <c:pt idx="52">
                  <c:v>5.3551325271806744E-3</c:v>
                </c:pt>
                <c:pt idx="53">
                  <c:v>5.4628694255824811E-3</c:v>
                </c:pt>
                <c:pt idx="54">
                  <c:v>5.5706063239842878E-3</c:v>
                </c:pt>
                <c:pt idx="55">
                  <c:v>5.6783432223860945E-3</c:v>
                </c:pt>
                <c:pt idx="56">
                  <c:v>5.786080120787903E-3</c:v>
                </c:pt>
                <c:pt idx="57">
                  <c:v>5.8938170191897097E-3</c:v>
                </c:pt>
                <c:pt idx="58">
                  <c:v>6.0015539175915164E-3</c:v>
                </c:pt>
                <c:pt idx="59">
                  <c:v>6.1092908159933231E-3</c:v>
                </c:pt>
                <c:pt idx="60">
                  <c:v>6.2170277143951316E-3</c:v>
                </c:pt>
                <c:pt idx="61">
                  <c:v>6.3247646127969383E-3</c:v>
                </c:pt>
                <c:pt idx="62">
                  <c:v>6.432501511198745E-3</c:v>
                </c:pt>
                <c:pt idx="63">
                  <c:v>6.5402384096005517E-3</c:v>
                </c:pt>
                <c:pt idx="64">
                  <c:v>6.6479753080023601E-3</c:v>
                </c:pt>
                <c:pt idx="65">
                  <c:v>6.7557122064041669E-3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A-4D45-BD21-8478E1C23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65328"/>
        <c:axId val="1750166768"/>
      </c:scatterChart>
      <c:valAx>
        <c:axId val="175016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6768"/>
        <c:crosses val="autoZero"/>
        <c:crossBetween val="midCat"/>
      </c:valAx>
      <c:valAx>
        <c:axId val="1750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(3)'!$D$1</c:f>
              <c:strCache>
                <c:ptCount val="1"/>
                <c:pt idx="0">
                  <c:v>Thermal conductivity (W/(m·K))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(3)'!$D$2:$D$67</c:f>
              <c:numCache>
                <c:formatCode>0.00000</c:formatCode>
                <c:ptCount val="66"/>
                <c:pt idx="0">
                  <c:v>5.1322000000000001</c:v>
                </c:pt>
                <c:pt idx="1">
                  <c:v>5.2633200000000002</c:v>
                </c:pt>
                <c:pt idx="2">
                  <c:v>5.5197700000000003</c:v>
                </c:pt>
                <c:pt idx="3">
                  <c:v>5.76912</c:v>
                </c:pt>
                <c:pt idx="4">
                  <c:v>6.0120100000000001</c:v>
                </c:pt>
                <c:pt idx="5">
                  <c:v>6.2490100000000002</c:v>
                </c:pt>
                <c:pt idx="6">
                  <c:v>6.4806400000000002</c:v>
                </c:pt>
                <c:pt idx="7">
                  <c:v>6.7073499999999999</c:v>
                </c:pt>
                <c:pt idx="8">
                  <c:v>6.9295299999999997</c:v>
                </c:pt>
                <c:pt idx="9">
                  <c:v>7.1475600000000004</c:v>
                </c:pt>
                <c:pt idx="10">
                  <c:v>7.3617400000000002</c:v>
                </c:pt>
                <c:pt idx="11">
                  <c:v>7.5723799999999999</c:v>
                </c:pt>
                <c:pt idx="12">
                  <c:v>7.7797400000000003</c:v>
                </c:pt>
                <c:pt idx="13">
                  <c:v>7.9840499999999999</c:v>
                </c:pt>
                <c:pt idx="14">
                  <c:v>8.1855399999999996</c:v>
                </c:pt>
                <c:pt idx="15">
                  <c:v>8.3843899999999998</c:v>
                </c:pt>
                <c:pt idx="16">
                  <c:v>8.5807900000000004</c:v>
                </c:pt>
                <c:pt idx="17">
                  <c:v>8.7748899999999992</c:v>
                </c:pt>
                <c:pt idx="18">
                  <c:v>8.9668600000000005</c:v>
                </c:pt>
                <c:pt idx="19">
                  <c:v>9.1568299999999994</c:v>
                </c:pt>
                <c:pt idx="20">
                  <c:v>9.3449200000000001</c:v>
                </c:pt>
                <c:pt idx="21">
                  <c:v>9.53125</c:v>
                </c:pt>
                <c:pt idx="22">
                  <c:v>9.7159300000000002</c:v>
                </c:pt>
                <c:pt idx="23">
                  <c:v>9.8990500000000008</c:v>
                </c:pt>
                <c:pt idx="24">
                  <c:v>10.08071</c:v>
                </c:pt>
                <c:pt idx="25">
                  <c:v>10.26099</c:v>
                </c:pt>
                <c:pt idx="26">
                  <c:v>10.439970000000001</c:v>
                </c:pt>
                <c:pt idx="27">
                  <c:v>10.61773</c:v>
                </c:pt>
                <c:pt idx="28">
                  <c:v>10.79433</c:v>
                </c:pt>
                <c:pt idx="29">
                  <c:v>10.96983</c:v>
                </c:pt>
                <c:pt idx="30">
                  <c:v>11.14429</c:v>
                </c:pt>
                <c:pt idx="31">
                  <c:v>11.317780000000001</c:v>
                </c:pt>
                <c:pt idx="32">
                  <c:v>11.49033</c:v>
                </c:pt>
                <c:pt idx="33">
                  <c:v>11.66201</c:v>
                </c:pt>
                <c:pt idx="34">
                  <c:v>11.832839999999999</c:v>
                </c:pt>
                <c:pt idx="35">
                  <c:v>12.002879999999999</c:v>
                </c:pt>
                <c:pt idx="36">
                  <c:v>12.172169999999999</c:v>
                </c:pt>
                <c:pt idx="37">
                  <c:v>12.34074</c:v>
                </c:pt>
                <c:pt idx="38">
                  <c:v>12.508620000000001</c:v>
                </c:pt>
                <c:pt idx="39">
                  <c:v>12.67586</c:v>
                </c:pt>
                <c:pt idx="40">
                  <c:v>12.84248</c:v>
                </c:pt>
                <c:pt idx="41">
                  <c:v>13.008509999999999</c:v>
                </c:pt>
                <c:pt idx="42">
                  <c:v>13.17398</c:v>
                </c:pt>
                <c:pt idx="43">
                  <c:v>13.33892</c:v>
                </c:pt>
                <c:pt idx="44">
                  <c:v>13.50334</c:v>
                </c:pt>
                <c:pt idx="45">
                  <c:v>13.66728</c:v>
                </c:pt>
                <c:pt idx="46">
                  <c:v>13.83075</c:v>
                </c:pt>
                <c:pt idx="47">
                  <c:v>13.993779999999999</c:v>
                </c:pt>
                <c:pt idx="48">
                  <c:v>14.15639</c:v>
                </c:pt>
                <c:pt idx="49">
                  <c:v>14.31859</c:v>
                </c:pt>
                <c:pt idx="50">
                  <c:v>14.480399999999999</c:v>
                </c:pt>
                <c:pt idx="51">
                  <c:v>14.64185</c:v>
                </c:pt>
                <c:pt idx="52">
                  <c:v>14.80294</c:v>
                </c:pt>
                <c:pt idx="53">
                  <c:v>14.96369</c:v>
                </c:pt>
                <c:pt idx="54">
                  <c:v>15.12412</c:v>
                </c:pt>
                <c:pt idx="55">
                  <c:v>15.28424</c:v>
                </c:pt>
                <c:pt idx="56">
                  <c:v>15.44407</c:v>
                </c:pt>
                <c:pt idx="57">
                  <c:v>15.60361</c:v>
                </c:pt>
                <c:pt idx="58">
                  <c:v>15.762879999999999</c:v>
                </c:pt>
                <c:pt idx="59">
                  <c:v>15.921889999999999</c:v>
                </c:pt>
                <c:pt idx="60">
                  <c:v>16.080649999999999</c:v>
                </c:pt>
                <c:pt idx="61">
                  <c:v>16.239170000000001</c:v>
                </c:pt>
                <c:pt idx="62">
                  <c:v>16.397469999999998</c:v>
                </c:pt>
                <c:pt idx="63">
                  <c:v>16.55555</c:v>
                </c:pt>
                <c:pt idx="64">
                  <c:v>16.71341</c:v>
                </c:pt>
                <c:pt idx="65">
                  <c:v>16.871079999999999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5C-47A0-8C9F-084BFBE9F8BD}"/>
            </c:ext>
          </c:extLst>
        </c:ser>
        <c:ser>
          <c:idx val="1"/>
          <c:order val="1"/>
          <c:tx>
            <c:v>ThermCond_Fit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(3)'!$R$2:$R$67</c:f>
              <c:numCache>
                <c:formatCode>General</c:formatCode>
                <c:ptCount val="66"/>
                <c:pt idx="0">
                  <c:v>5.6952918162074129</c:v>
                </c:pt>
                <c:pt idx="1">
                  <c:v>5.7841892671258286</c:v>
                </c:pt>
                <c:pt idx="2">
                  <c:v>5.9619841689626618</c:v>
                </c:pt>
                <c:pt idx="3">
                  <c:v>6.139779070799495</c:v>
                </c:pt>
                <c:pt idx="4">
                  <c:v>6.3175739726363283</c:v>
                </c:pt>
                <c:pt idx="5">
                  <c:v>6.4953688744731615</c:v>
                </c:pt>
                <c:pt idx="6">
                  <c:v>6.6731637763099947</c:v>
                </c:pt>
                <c:pt idx="7">
                  <c:v>6.8509586781468279</c:v>
                </c:pt>
                <c:pt idx="8">
                  <c:v>7.0287535799836611</c:v>
                </c:pt>
                <c:pt idx="9">
                  <c:v>7.2065484818204935</c:v>
                </c:pt>
                <c:pt idx="10">
                  <c:v>7.3843433836573267</c:v>
                </c:pt>
                <c:pt idx="11">
                  <c:v>7.5621382854941599</c:v>
                </c:pt>
                <c:pt idx="12">
                  <c:v>7.7399331873309931</c:v>
                </c:pt>
                <c:pt idx="13">
                  <c:v>7.9177280891678263</c:v>
                </c:pt>
                <c:pt idx="14">
                  <c:v>8.0955229910046604</c:v>
                </c:pt>
                <c:pt idx="15">
                  <c:v>8.2733178928414937</c:v>
                </c:pt>
                <c:pt idx="16">
                  <c:v>8.4511127946783251</c:v>
                </c:pt>
                <c:pt idx="17">
                  <c:v>8.6289076965151583</c:v>
                </c:pt>
                <c:pt idx="18">
                  <c:v>8.8067025983519915</c:v>
                </c:pt>
                <c:pt idx="19">
                  <c:v>8.9844975001888248</c:v>
                </c:pt>
                <c:pt idx="20">
                  <c:v>9.162292402025658</c:v>
                </c:pt>
                <c:pt idx="21">
                  <c:v>9.3400873038624912</c:v>
                </c:pt>
                <c:pt idx="22">
                  <c:v>9.5178822056993244</c:v>
                </c:pt>
                <c:pt idx="23">
                  <c:v>9.6956771075361576</c:v>
                </c:pt>
                <c:pt idx="24">
                  <c:v>9.8734720093729909</c:v>
                </c:pt>
                <c:pt idx="25">
                  <c:v>10.051266911209824</c:v>
                </c:pt>
                <c:pt idx="26">
                  <c:v>10.229061813046657</c:v>
                </c:pt>
                <c:pt idx="27">
                  <c:v>10.406856714883491</c:v>
                </c:pt>
                <c:pt idx="28">
                  <c:v>10.584651616720322</c:v>
                </c:pt>
                <c:pt idx="29">
                  <c:v>10.762446518557155</c:v>
                </c:pt>
                <c:pt idx="30">
                  <c:v>10.940241420393988</c:v>
                </c:pt>
                <c:pt idx="31">
                  <c:v>11.118036322230822</c:v>
                </c:pt>
                <c:pt idx="32">
                  <c:v>11.295831224067655</c:v>
                </c:pt>
                <c:pt idx="33">
                  <c:v>11.473626125904488</c:v>
                </c:pt>
                <c:pt idx="34">
                  <c:v>11.651421027741321</c:v>
                </c:pt>
                <c:pt idx="35">
                  <c:v>11.829215929578154</c:v>
                </c:pt>
                <c:pt idx="36">
                  <c:v>12.007010831414988</c:v>
                </c:pt>
                <c:pt idx="37">
                  <c:v>12.184805733251821</c:v>
                </c:pt>
                <c:pt idx="38">
                  <c:v>12.362600635088654</c:v>
                </c:pt>
                <c:pt idx="39">
                  <c:v>12.540395536925487</c:v>
                </c:pt>
                <c:pt idx="40">
                  <c:v>12.718190438762321</c:v>
                </c:pt>
                <c:pt idx="41">
                  <c:v>12.895985340599154</c:v>
                </c:pt>
                <c:pt idx="42">
                  <c:v>13.073780242435987</c:v>
                </c:pt>
                <c:pt idx="43">
                  <c:v>13.251575144272818</c:v>
                </c:pt>
                <c:pt idx="44">
                  <c:v>13.429370046109652</c:v>
                </c:pt>
                <c:pt idx="45">
                  <c:v>13.607164947946485</c:v>
                </c:pt>
                <c:pt idx="46">
                  <c:v>13.784959849783318</c:v>
                </c:pt>
                <c:pt idx="47">
                  <c:v>13.962754751620151</c:v>
                </c:pt>
                <c:pt idx="48">
                  <c:v>14.140549653456985</c:v>
                </c:pt>
                <c:pt idx="49">
                  <c:v>14.318344555293818</c:v>
                </c:pt>
                <c:pt idx="50">
                  <c:v>14.496139457130651</c:v>
                </c:pt>
                <c:pt idx="51">
                  <c:v>14.673934358967484</c:v>
                </c:pt>
                <c:pt idx="52">
                  <c:v>14.851729260804317</c:v>
                </c:pt>
                <c:pt idx="53">
                  <c:v>15.029524162641151</c:v>
                </c:pt>
                <c:pt idx="54">
                  <c:v>15.207319064477984</c:v>
                </c:pt>
                <c:pt idx="55">
                  <c:v>15.385113966314817</c:v>
                </c:pt>
                <c:pt idx="56">
                  <c:v>15.56290886815165</c:v>
                </c:pt>
                <c:pt idx="57">
                  <c:v>15.740703769988484</c:v>
                </c:pt>
                <c:pt idx="58">
                  <c:v>15.918498671825315</c:v>
                </c:pt>
                <c:pt idx="59">
                  <c:v>16.096293573662148</c:v>
                </c:pt>
                <c:pt idx="60">
                  <c:v>16.274088475498981</c:v>
                </c:pt>
                <c:pt idx="61">
                  <c:v>16.451883377335818</c:v>
                </c:pt>
                <c:pt idx="62">
                  <c:v>16.629678279172651</c:v>
                </c:pt>
                <c:pt idx="63">
                  <c:v>16.807473181009485</c:v>
                </c:pt>
                <c:pt idx="64">
                  <c:v>16.985268082846318</c:v>
                </c:pt>
                <c:pt idx="65">
                  <c:v>17.163062984683144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55C-47A0-8C9F-084BFBE9F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04432"/>
        <c:axId val="1187501072"/>
      </c:scatterChart>
      <c:valAx>
        <c:axId val="11875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1072"/>
        <c:crosses val="autoZero"/>
        <c:crossBetween val="midCat"/>
      </c:valAx>
      <c:valAx>
        <c:axId val="1187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(3)'!$E$1</c:f>
              <c:strCache>
                <c:ptCount val="1"/>
                <c:pt idx="0">
                  <c:v>Young modulus (Pa)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368909470165211"/>
                  <c:y val="7.14771070282881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(3)'!$E$2:$E$67</c:f>
              <c:numCache>
                <c:formatCode>0.00E+00</c:formatCode>
                <c:ptCount val="66"/>
                <c:pt idx="0">
                  <c:v>116049750000</c:v>
                </c:pt>
                <c:pt idx="1">
                  <c:v>115789320000</c:v>
                </c:pt>
                <c:pt idx="2">
                  <c:v>115268110000</c:v>
                </c:pt>
                <c:pt idx="3">
                  <c:v>114746440000</c:v>
                </c:pt>
                <c:pt idx="4">
                  <c:v>114224300000</c:v>
                </c:pt>
                <c:pt idx="5">
                  <c:v>113701700000</c:v>
                </c:pt>
                <c:pt idx="6">
                  <c:v>113178630000</c:v>
                </c:pt>
                <c:pt idx="7">
                  <c:v>112655080000</c:v>
                </c:pt>
                <c:pt idx="8">
                  <c:v>112131060000</c:v>
                </c:pt>
                <c:pt idx="9">
                  <c:v>111606560000</c:v>
                </c:pt>
                <c:pt idx="10">
                  <c:v>111081590000</c:v>
                </c:pt>
                <c:pt idx="11">
                  <c:v>110556140000</c:v>
                </c:pt>
                <c:pt idx="12">
                  <c:v>110030200000</c:v>
                </c:pt>
                <c:pt idx="13">
                  <c:v>109503780000</c:v>
                </c:pt>
                <c:pt idx="14">
                  <c:v>108976880000</c:v>
                </c:pt>
                <c:pt idx="15">
                  <c:v>108449500000</c:v>
                </c:pt>
                <c:pt idx="16">
                  <c:v>107921640000</c:v>
                </c:pt>
                <c:pt idx="17">
                  <c:v>107393280000</c:v>
                </c:pt>
                <c:pt idx="18">
                  <c:v>106864450000</c:v>
                </c:pt>
                <c:pt idx="19">
                  <c:v>106335120000</c:v>
                </c:pt>
                <c:pt idx="20">
                  <c:v>105805320000</c:v>
                </c:pt>
                <c:pt idx="21">
                  <c:v>105275020000</c:v>
                </c:pt>
                <c:pt idx="22">
                  <c:v>104744240000</c:v>
                </c:pt>
                <c:pt idx="23">
                  <c:v>104212970000</c:v>
                </c:pt>
                <c:pt idx="24">
                  <c:v>103681220000</c:v>
                </c:pt>
                <c:pt idx="25">
                  <c:v>103148970000</c:v>
                </c:pt>
                <c:pt idx="26">
                  <c:v>102616240000</c:v>
                </c:pt>
                <c:pt idx="27">
                  <c:v>102083020000</c:v>
                </c:pt>
                <c:pt idx="28">
                  <c:v>101549320000</c:v>
                </c:pt>
                <c:pt idx="29">
                  <c:v>101015130000</c:v>
                </c:pt>
                <c:pt idx="30">
                  <c:v>100480450000</c:v>
                </c:pt>
                <c:pt idx="31">
                  <c:v>99945280000</c:v>
                </c:pt>
                <c:pt idx="32">
                  <c:v>99409630000</c:v>
                </c:pt>
                <c:pt idx="33">
                  <c:v>98873480000</c:v>
                </c:pt>
                <c:pt idx="34">
                  <c:v>98336860000</c:v>
                </c:pt>
                <c:pt idx="35">
                  <c:v>97799740000</c:v>
                </c:pt>
                <c:pt idx="36">
                  <c:v>97262140000</c:v>
                </c:pt>
                <c:pt idx="37">
                  <c:v>96724050000</c:v>
                </c:pt>
                <c:pt idx="38">
                  <c:v>96185470000</c:v>
                </c:pt>
                <c:pt idx="39">
                  <c:v>95646400000</c:v>
                </c:pt>
                <c:pt idx="40">
                  <c:v>95106850000</c:v>
                </c:pt>
                <c:pt idx="41">
                  <c:v>94566810000</c:v>
                </c:pt>
                <c:pt idx="42">
                  <c:v>94026290000</c:v>
                </c:pt>
                <c:pt idx="43">
                  <c:v>93485280000</c:v>
                </c:pt>
                <c:pt idx="44">
                  <c:v>92943790000</c:v>
                </c:pt>
                <c:pt idx="45">
                  <c:v>92401800000</c:v>
                </c:pt>
                <c:pt idx="46">
                  <c:v>91859340000</c:v>
                </c:pt>
                <c:pt idx="47">
                  <c:v>91316380000</c:v>
                </c:pt>
                <c:pt idx="48">
                  <c:v>90772950000</c:v>
                </c:pt>
                <c:pt idx="49">
                  <c:v>90229020000</c:v>
                </c:pt>
                <c:pt idx="50">
                  <c:v>89684610000</c:v>
                </c:pt>
                <c:pt idx="51">
                  <c:v>89139710000</c:v>
                </c:pt>
                <c:pt idx="52">
                  <c:v>88594330000</c:v>
                </c:pt>
                <c:pt idx="53">
                  <c:v>88048460000</c:v>
                </c:pt>
                <c:pt idx="54">
                  <c:v>87502110000</c:v>
                </c:pt>
                <c:pt idx="55">
                  <c:v>86955270000</c:v>
                </c:pt>
                <c:pt idx="56">
                  <c:v>86407940000</c:v>
                </c:pt>
                <c:pt idx="57">
                  <c:v>85860130000</c:v>
                </c:pt>
                <c:pt idx="58">
                  <c:v>85311830000</c:v>
                </c:pt>
                <c:pt idx="59">
                  <c:v>84763050000</c:v>
                </c:pt>
                <c:pt idx="60">
                  <c:v>84213780000</c:v>
                </c:pt>
                <c:pt idx="61">
                  <c:v>83664030000</c:v>
                </c:pt>
                <c:pt idx="62">
                  <c:v>83113790000</c:v>
                </c:pt>
                <c:pt idx="63">
                  <c:v>82563060000</c:v>
                </c:pt>
                <c:pt idx="64">
                  <c:v>82011850000</c:v>
                </c:pt>
                <c:pt idx="65">
                  <c:v>81460150000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4F-48C4-A351-958618C4F4AD}"/>
            </c:ext>
          </c:extLst>
        </c:ser>
        <c:ser>
          <c:idx val="1"/>
          <c:order val="1"/>
          <c:tx>
            <c:v>YoungMod_Fit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(3)'!$S$2:$S$67</c:f>
              <c:numCache>
                <c:formatCode>General</c:formatCode>
                <c:ptCount val="66"/>
                <c:pt idx="0">
                  <c:v>116210529832.01758</c:v>
                </c:pt>
                <c:pt idx="1">
                  <c:v>115942450807.42274</c:v>
                </c:pt>
                <c:pt idx="2">
                  <c:v>115406292758.23309</c:v>
                </c:pt>
                <c:pt idx="3">
                  <c:v>114870134709.04343</c:v>
                </c:pt>
                <c:pt idx="4">
                  <c:v>114333976659.85376</c:v>
                </c:pt>
                <c:pt idx="5">
                  <c:v>113797818610.66411</c:v>
                </c:pt>
                <c:pt idx="6">
                  <c:v>113261660561.47444</c:v>
                </c:pt>
                <c:pt idx="7">
                  <c:v>112725502512.28479</c:v>
                </c:pt>
                <c:pt idx="8">
                  <c:v>112189344463.09512</c:v>
                </c:pt>
                <c:pt idx="9">
                  <c:v>111653186413.90546</c:v>
                </c:pt>
                <c:pt idx="10">
                  <c:v>111117028364.71581</c:v>
                </c:pt>
                <c:pt idx="11">
                  <c:v>110580870315.52615</c:v>
                </c:pt>
                <c:pt idx="12">
                  <c:v>110044712266.33649</c:v>
                </c:pt>
                <c:pt idx="13">
                  <c:v>109508554217.14682</c:v>
                </c:pt>
                <c:pt idx="14">
                  <c:v>108972396167.95717</c:v>
                </c:pt>
                <c:pt idx="15">
                  <c:v>108436238118.7675</c:v>
                </c:pt>
                <c:pt idx="16">
                  <c:v>107900080069.57785</c:v>
                </c:pt>
                <c:pt idx="17">
                  <c:v>107363922020.38818</c:v>
                </c:pt>
                <c:pt idx="18">
                  <c:v>106827763971.19852</c:v>
                </c:pt>
                <c:pt idx="19">
                  <c:v>106291605922.00887</c:v>
                </c:pt>
                <c:pt idx="20">
                  <c:v>105755447872.8192</c:v>
                </c:pt>
                <c:pt idx="21">
                  <c:v>105219289823.62955</c:v>
                </c:pt>
                <c:pt idx="22">
                  <c:v>104683131774.43988</c:v>
                </c:pt>
                <c:pt idx="23">
                  <c:v>104146973725.25021</c:v>
                </c:pt>
                <c:pt idx="24">
                  <c:v>103610815676.06056</c:v>
                </c:pt>
                <c:pt idx="25">
                  <c:v>103074657626.8709</c:v>
                </c:pt>
                <c:pt idx="26">
                  <c:v>102538499577.68124</c:v>
                </c:pt>
                <c:pt idx="27">
                  <c:v>102002341528.49158</c:v>
                </c:pt>
                <c:pt idx="28">
                  <c:v>101466183479.30191</c:v>
                </c:pt>
                <c:pt idx="29">
                  <c:v>100930025430.11226</c:v>
                </c:pt>
                <c:pt idx="30">
                  <c:v>100393867380.92261</c:v>
                </c:pt>
                <c:pt idx="31">
                  <c:v>99857709331.732941</c:v>
                </c:pt>
                <c:pt idx="32">
                  <c:v>99321551282.543274</c:v>
                </c:pt>
                <c:pt idx="33">
                  <c:v>98785393233.353622</c:v>
                </c:pt>
                <c:pt idx="34">
                  <c:v>98249235184.163956</c:v>
                </c:pt>
                <c:pt idx="35">
                  <c:v>97713077134.974304</c:v>
                </c:pt>
                <c:pt idx="36">
                  <c:v>97176919085.784637</c:v>
                </c:pt>
                <c:pt idx="37">
                  <c:v>96640761036.594971</c:v>
                </c:pt>
                <c:pt idx="38">
                  <c:v>96104602987.405319</c:v>
                </c:pt>
                <c:pt idx="39">
                  <c:v>95568444938.215652</c:v>
                </c:pt>
                <c:pt idx="40">
                  <c:v>95032286889.026001</c:v>
                </c:pt>
                <c:pt idx="41">
                  <c:v>94496128839.836334</c:v>
                </c:pt>
                <c:pt idx="42">
                  <c:v>93959970790.646667</c:v>
                </c:pt>
                <c:pt idx="43">
                  <c:v>93423812741.457016</c:v>
                </c:pt>
                <c:pt idx="44">
                  <c:v>92887654692.267365</c:v>
                </c:pt>
                <c:pt idx="45">
                  <c:v>92351496643.077698</c:v>
                </c:pt>
                <c:pt idx="46">
                  <c:v>91815338593.888031</c:v>
                </c:pt>
                <c:pt idx="47">
                  <c:v>91279180544.698364</c:v>
                </c:pt>
                <c:pt idx="48">
                  <c:v>90743022495.508713</c:v>
                </c:pt>
                <c:pt idx="49">
                  <c:v>90206864446.319061</c:v>
                </c:pt>
                <c:pt idx="50">
                  <c:v>89670706397.129395</c:v>
                </c:pt>
                <c:pt idx="51">
                  <c:v>89134548347.939728</c:v>
                </c:pt>
                <c:pt idx="52">
                  <c:v>88598390298.750061</c:v>
                </c:pt>
                <c:pt idx="53">
                  <c:v>88062232249.56041</c:v>
                </c:pt>
                <c:pt idx="54">
                  <c:v>87526074200.370758</c:v>
                </c:pt>
                <c:pt idx="55">
                  <c:v>86989916151.181091</c:v>
                </c:pt>
                <c:pt idx="56">
                  <c:v>86453758101.991425</c:v>
                </c:pt>
                <c:pt idx="57">
                  <c:v>85917600052.801773</c:v>
                </c:pt>
                <c:pt idx="58">
                  <c:v>85381442003.612106</c:v>
                </c:pt>
                <c:pt idx="59">
                  <c:v>84845283954.422455</c:v>
                </c:pt>
                <c:pt idx="60">
                  <c:v>84309125905.232788</c:v>
                </c:pt>
                <c:pt idx="61">
                  <c:v>83772967856.043121</c:v>
                </c:pt>
                <c:pt idx="62">
                  <c:v>83236809806.85347</c:v>
                </c:pt>
                <c:pt idx="63">
                  <c:v>82700651757.663818</c:v>
                </c:pt>
                <c:pt idx="64">
                  <c:v>82164493708.474152</c:v>
                </c:pt>
                <c:pt idx="65">
                  <c:v>81628335659.284485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44F-48C4-A351-958618C4F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18352"/>
        <c:axId val="1187520272"/>
      </c:scatterChart>
      <c:valAx>
        <c:axId val="118751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20272"/>
        <c:crosses val="autoZero"/>
        <c:crossBetween val="midCat"/>
      </c:valAx>
      <c:valAx>
        <c:axId val="118752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1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(3)'!$F$1</c:f>
              <c:strCache>
                <c:ptCount val="1"/>
                <c:pt idx="0">
                  <c:v>Poisson ratio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(3)'!$F$2:$F$67</c:f>
              <c:numCache>
                <c:formatCode>0.00000</c:formatCode>
                <c:ptCount val="66"/>
                <c:pt idx="0">
                  <c:v>0.31797999999999998</c:v>
                </c:pt>
                <c:pt idx="1">
                  <c:v>0.31818000000000002</c:v>
                </c:pt>
                <c:pt idx="2">
                  <c:v>0.31857000000000002</c:v>
                </c:pt>
                <c:pt idx="3">
                  <c:v>0.31896000000000002</c:v>
                </c:pt>
                <c:pt idx="4">
                  <c:v>0.31934000000000001</c:v>
                </c:pt>
                <c:pt idx="5">
                  <c:v>0.31974000000000002</c:v>
                </c:pt>
                <c:pt idx="6">
                  <c:v>0.32013000000000003</c:v>
                </c:pt>
                <c:pt idx="7">
                  <c:v>0.32052000000000003</c:v>
                </c:pt>
                <c:pt idx="8">
                  <c:v>0.32090999999999997</c:v>
                </c:pt>
                <c:pt idx="9">
                  <c:v>0.32130999999999998</c:v>
                </c:pt>
                <c:pt idx="10">
                  <c:v>0.32169999999999999</c:v>
                </c:pt>
                <c:pt idx="11">
                  <c:v>0.3221</c:v>
                </c:pt>
                <c:pt idx="12">
                  <c:v>0.32249</c:v>
                </c:pt>
                <c:pt idx="13">
                  <c:v>0.32289000000000001</c:v>
                </c:pt>
                <c:pt idx="14">
                  <c:v>0.32329000000000002</c:v>
                </c:pt>
                <c:pt idx="15">
                  <c:v>0.32368999999999998</c:v>
                </c:pt>
                <c:pt idx="16">
                  <c:v>0.32408999999999999</c:v>
                </c:pt>
                <c:pt idx="17">
                  <c:v>0.32449</c:v>
                </c:pt>
                <c:pt idx="18">
                  <c:v>0.32489000000000001</c:v>
                </c:pt>
                <c:pt idx="19">
                  <c:v>0.32529999999999998</c:v>
                </c:pt>
                <c:pt idx="20">
                  <c:v>0.32569999999999999</c:v>
                </c:pt>
                <c:pt idx="21">
                  <c:v>0.3261</c:v>
                </c:pt>
                <c:pt idx="22">
                  <c:v>0.32651000000000002</c:v>
                </c:pt>
                <c:pt idx="23">
                  <c:v>0.32691999999999999</c:v>
                </c:pt>
                <c:pt idx="24">
                  <c:v>0.32732</c:v>
                </c:pt>
                <c:pt idx="25">
                  <c:v>0.32773000000000002</c:v>
                </c:pt>
                <c:pt idx="26">
                  <c:v>0.32813999999999999</c:v>
                </c:pt>
                <c:pt idx="27">
                  <c:v>0.32855000000000001</c:v>
                </c:pt>
                <c:pt idx="28">
                  <c:v>0.32895999999999997</c:v>
                </c:pt>
                <c:pt idx="29">
                  <c:v>0.32937</c:v>
                </c:pt>
                <c:pt idx="30">
                  <c:v>0.32978000000000002</c:v>
                </c:pt>
                <c:pt idx="31">
                  <c:v>0.33019999999999999</c:v>
                </c:pt>
                <c:pt idx="32">
                  <c:v>0.33061000000000001</c:v>
                </c:pt>
                <c:pt idx="33">
                  <c:v>0.33102999999999999</c:v>
                </c:pt>
                <c:pt idx="34">
                  <c:v>0.33144000000000001</c:v>
                </c:pt>
                <c:pt idx="35">
                  <c:v>0.33185999999999999</c:v>
                </c:pt>
                <c:pt idx="36">
                  <c:v>0.33228000000000002</c:v>
                </c:pt>
                <c:pt idx="37">
                  <c:v>0.3327</c:v>
                </c:pt>
                <c:pt idx="38">
                  <c:v>0.33312000000000003</c:v>
                </c:pt>
                <c:pt idx="39">
                  <c:v>0.33354</c:v>
                </c:pt>
                <c:pt idx="40">
                  <c:v>0.33395999999999998</c:v>
                </c:pt>
                <c:pt idx="41">
                  <c:v>0.33438000000000001</c:v>
                </c:pt>
                <c:pt idx="42">
                  <c:v>0.33479999999999999</c:v>
                </c:pt>
                <c:pt idx="43">
                  <c:v>0.33522999999999997</c:v>
                </c:pt>
                <c:pt idx="44">
                  <c:v>0.33565</c:v>
                </c:pt>
                <c:pt idx="45">
                  <c:v>0.33607999999999999</c:v>
                </c:pt>
                <c:pt idx="46">
                  <c:v>0.33650999999999998</c:v>
                </c:pt>
                <c:pt idx="47">
                  <c:v>0.33693000000000001</c:v>
                </c:pt>
                <c:pt idx="48">
                  <c:v>0.33735999999999999</c:v>
                </c:pt>
                <c:pt idx="49">
                  <c:v>0.33778999999999998</c:v>
                </c:pt>
                <c:pt idx="50">
                  <c:v>0.33822000000000002</c:v>
                </c:pt>
                <c:pt idx="51">
                  <c:v>0.33865000000000001</c:v>
                </c:pt>
                <c:pt idx="52">
                  <c:v>0.33907999999999999</c:v>
                </c:pt>
                <c:pt idx="53">
                  <c:v>0.33951999999999999</c:v>
                </c:pt>
                <c:pt idx="54">
                  <c:v>0.33994999999999997</c:v>
                </c:pt>
                <c:pt idx="55">
                  <c:v>0.34038000000000002</c:v>
                </c:pt>
                <c:pt idx="56">
                  <c:v>0.34082000000000001</c:v>
                </c:pt>
                <c:pt idx="57">
                  <c:v>0.34126000000000001</c:v>
                </c:pt>
                <c:pt idx="58">
                  <c:v>0.34168999999999999</c:v>
                </c:pt>
                <c:pt idx="59">
                  <c:v>0.34212999999999999</c:v>
                </c:pt>
                <c:pt idx="60">
                  <c:v>0.34256999999999999</c:v>
                </c:pt>
                <c:pt idx="61">
                  <c:v>0.34300999999999998</c:v>
                </c:pt>
                <c:pt idx="62">
                  <c:v>0.34344999999999998</c:v>
                </c:pt>
                <c:pt idx="63">
                  <c:v>0.34388999999999997</c:v>
                </c:pt>
                <c:pt idx="64">
                  <c:v>0.34433000000000002</c:v>
                </c:pt>
                <c:pt idx="65">
                  <c:v>0.34477999999999998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D4-4084-A55C-9CA84929ADA7}"/>
            </c:ext>
          </c:extLst>
        </c:ser>
        <c:ser>
          <c:idx val="1"/>
          <c:order val="1"/>
          <c:tx>
            <c:v>Poisson_Fit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(3)'!$T$2:$T$67</c:f>
              <c:numCache>
                <c:formatCode>General</c:formatCode>
                <c:ptCount val="66"/>
                <c:pt idx="0">
                  <c:v>0.31769356890677586</c:v>
                </c:pt>
                <c:pt idx="1">
                  <c:v>0.3179011604930842</c:v>
                </c:pt>
                <c:pt idx="2">
                  <c:v>0.31831634366570088</c:v>
                </c:pt>
                <c:pt idx="3">
                  <c:v>0.31873152683831762</c:v>
                </c:pt>
                <c:pt idx="4">
                  <c:v>0.31914671001093431</c:v>
                </c:pt>
                <c:pt idx="5">
                  <c:v>0.31956189318355099</c:v>
                </c:pt>
                <c:pt idx="6">
                  <c:v>0.31997707635616773</c:v>
                </c:pt>
                <c:pt idx="7">
                  <c:v>0.32039225952878442</c:v>
                </c:pt>
                <c:pt idx="8">
                  <c:v>0.3208074427014011</c:v>
                </c:pt>
                <c:pt idx="9">
                  <c:v>0.32122262587401784</c:v>
                </c:pt>
                <c:pt idx="10">
                  <c:v>0.32163780904663453</c:v>
                </c:pt>
                <c:pt idx="11">
                  <c:v>0.32205299221925127</c:v>
                </c:pt>
                <c:pt idx="12">
                  <c:v>0.32246817539186795</c:v>
                </c:pt>
                <c:pt idx="13">
                  <c:v>0.32288335856448463</c:v>
                </c:pt>
                <c:pt idx="14">
                  <c:v>0.32329854173710137</c:v>
                </c:pt>
                <c:pt idx="15">
                  <c:v>0.32371372490971806</c:v>
                </c:pt>
                <c:pt idx="16">
                  <c:v>0.32412890808233474</c:v>
                </c:pt>
                <c:pt idx="17">
                  <c:v>0.32454409125495148</c:v>
                </c:pt>
                <c:pt idx="18">
                  <c:v>0.32495927442756817</c:v>
                </c:pt>
                <c:pt idx="19">
                  <c:v>0.32537445760018491</c:v>
                </c:pt>
                <c:pt idx="20">
                  <c:v>0.32578964077280159</c:v>
                </c:pt>
                <c:pt idx="21">
                  <c:v>0.32620482394541828</c:v>
                </c:pt>
                <c:pt idx="22">
                  <c:v>0.32662000711803502</c:v>
                </c:pt>
                <c:pt idx="23">
                  <c:v>0.3270351902906517</c:v>
                </c:pt>
                <c:pt idx="24">
                  <c:v>0.32745037346326838</c:v>
                </c:pt>
                <c:pt idx="25">
                  <c:v>0.32786555663588512</c:v>
                </c:pt>
                <c:pt idx="26">
                  <c:v>0.32828073980850181</c:v>
                </c:pt>
                <c:pt idx="27">
                  <c:v>0.32869592298111849</c:v>
                </c:pt>
                <c:pt idx="28">
                  <c:v>0.32911110615373523</c:v>
                </c:pt>
                <c:pt idx="29">
                  <c:v>0.32952628932635192</c:v>
                </c:pt>
                <c:pt idx="30">
                  <c:v>0.32994147249896866</c:v>
                </c:pt>
                <c:pt idx="31">
                  <c:v>0.33035665567158534</c:v>
                </c:pt>
                <c:pt idx="32">
                  <c:v>0.33077183884420203</c:v>
                </c:pt>
                <c:pt idx="33">
                  <c:v>0.33118702201681877</c:v>
                </c:pt>
                <c:pt idx="34">
                  <c:v>0.33160220518943545</c:v>
                </c:pt>
                <c:pt idx="35">
                  <c:v>0.33201738836205219</c:v>
                </c:pt>
                <c:pt idx="36">
                  <c:v>0.33243257153466887</c:v>
                </c:pt>
                <c:pt idx="37">
                  <c:v>0.33284775470728556</c:v>
                </c:pt>
                <c:pt idx="38">
                  <c:v>0.3332629378799023</c:v>
                </c:pt>
                <c:pt idx="39">
                  <c:v>0.33367812105251898</c:v>
                </c:pt>
                <c:pt idx="40">
                  <c:v>0.33409330422513567</c:v>
                </c:pt>
                <c:pt idx="41">
                  <c:v>0.33450848739775241</c:v>
                </c:pt>
                <c:pt idx="42">
                  <c:v>0.33492367057036909</c:v>
                </c:pt>
                <c:pt idx="43">
                  <c:v>0.33533885374298578</c:v>
                </c:pt>
                <c:pt idx="44">
                  <c:v>0.33575403691560252</c:v>
                </c:pt>
                <c:pt idx="45">
                  <c:v>0.3361692200882192</c:v>
                </c:pt>
                <c:pt idx="46">
                  <c:v>0.33658440326083594</c:v>
                </c:pt>
                <c:pt idx="47">
                  <c:v>0.33699958643345262</c:v>
                </c:pt>
                <c:pt idx="48">
                  <c:v>0.33741476960606931</c:v>
                </c:pt>
                <c:pt idx="49">
                  <c:v>0.33782995277868605</c:v>
                </c:pt>
                <c:pt idx="50">
                  <c:v>0.33824513595130273</c:v>
                </c:pt>
                <c:pt idx="51">
                  <c:v>0.33866031912391947</c:v>
                </c:pt>
                <c:pt idx="52">
                  <c:v>0.33907550229653616</c:v>
                </c:pt>
                <c:pt idx="53">
                  <c:v>0.33949068546915284</c:v>
                </c:pt>
                <c:pt idx="54">
                  <c:v>0.33990586864176953</c:v>
                </c:pt>
                <c:pt idx="55">
                  <c:v>0.34032105181438627</c:v>
                </c:pt>
                <c:pt idx="56">
                  <c:v>0.34073623498700295</c:v>
                </c:pt>
                <c:pt idx="57">
                  <c:v>0.34115141815961969</c:v>
                </c:pt>
                <c:pt idx="58">
                  <c:v>0.34156660133223637</c:v>
                </c:pt>
                <c:pt idx="59">
                  <c:v>0.34198178450485306</c:v>
                </c:pt>
                <c:pt idx="60">
                  <c:v>0.3423969676774698</c:v>
                </c:pt>
                <c:pt idx="61">
                  <c:v>0.34281215085008648</c:v>
                </c:pt>
                <c:pt idx="62">
                  <c:v>0.34322733402270322</c:v>
                </c:pt>
                <c:pt idx="63">
                  <c:v>0.34364251719531991</c:v>
                </c:pt>
                <c:pt idx="64">
                  <c:v>0.34405770036793659</c:v>
                </c:pt>
                <c:pt idx="65">
                  <c:v>0.34447288354055333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2D4-4084-A55C-9CA84929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68432"/>
        <c:axId val="1187460272"/>
      </c:scatterChart>
      <c:valAx>
        <c:axId val="118746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0272"/>
        <c:crosses val="autoZero"/>
        <c:crossBetween val="midCat"/>
      </c:valAx>
      <c:valAx>
        <c:axId val="11874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6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(3)'!$G$1</c:f>
              <c:strCache>
                <c:ptCount val="1"/>
                <c:pt idx="0">
                  <c:v>Specific heat (J/(kg·K))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8564830949088302E-2"/>
                  <c:y val="0.2583639093686120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(3)'!$G$2:$G$67</c:f>
              <c:numCache>
                <c:formatCode>0.00</c:formatCode>
                <c:ptCount val="66"/>
                <c:pt idx="0">
                  <c:v>549.66999999999996</c:v>
                </c:pt>
                <c:pt idx="1">
                  <c:v>551.69000000000005</c:v>
                </c:pt>
                <c:pt idx="2">
                  <c:v>555.57000000000005</c:v>
                </c:pt>
                <c:pt idx="3">
                  <c:v>559.26</c:v>
                </c:pt>
                <c:pt idx="4">
                  <c:v>562.79999999999995</c:v>
                </c:pt>
                <c:pt idx="5">
                  <c:v>566.18000000000006</c:v>
                </c:pt>
                <c:pt idx="6">
                  <c:v>569.43999999999994</c:v>
                </c:pt>
                <c:pt idx="7">
                  <c:v>572.57999999999993</c:v>
                </c:pt>
                <c:pt idx="8">
                  <c:v>575.62</c:v>
                </c:pt>
                <c:pt idx="9">
                  <c:v>578.57000000000005</c:v>
                </c:pt>
                <c:pt idx="10">
                  <c:v>581.43999999999994</c:v>
                </c:pt>
                <c:pt idx="11">
                  <c:v>584.23</c:v>
                </c:pt>
                <c:pt idx="12">
                  <c:v>586.94999999999993</c:v>
                </c:pt>
                <c:pt idx="13">
                  <c:v>589.62</c:v>
                </c:pt>
                <c:pt idx="14">
                  <c:v>592.21999999999991</c:v>
                </c:pt>
                <c:pt idx="15">
                  <c:v>594.78</c:v>
                </c:pt>
                <c:pt idx="16">
                  <c:v>597.29</c:v>
                </c:pt>
                <c:pt idx="17">
                  <c:v>599.76</c:v>
                </c:pt>
                <c:pt idx="18">
                  <c:v>602.19000000000005</c:v>
                </c:pt>
                <c:pt idx="19">
                  <c:v>604.58000000000004</c:v>
                </c:pt>
                <c:pt idx="20">
                  <c:v>606.94000000000005</c:v>
                </c:pt>
                <c:pt idx="21">
                  <c:v>609.27</c:v>
                </c:pt>
                <c:pt idx="22">
                  <c:v>611.58000000000004</c:v>
                </c:pt>
                <c:pt idx="23">
                  <c:v>613.86</c:v>
                </c:pt>
                <c:pt idx="24">
                  <c:v>616.11</c:v>
                </c:pt>
                <c:pt idx="25">
                  <c:v>618.34999999999991</c:v>
                </c:pt>
                <c:pt idx="26">
                  <c:v>620.55999999999995</c:v>
                </c:pt>
                <c:pt idx="27">
                  <c:v>622.75</c:v>
                </c:pt>
                <c:pt idx="28">
                  <c:v>624.92999999999995</c:v>
                </c:pt>
                <c:pt idx="29">
                  <c:v>627.09</c:v>
                </c:pt>
                <c:pt idx="30">
                  <c:v>629.24</c:v>
                </c:pt>
                <c:pt idx="31">
                  <c:v>631.37</c:v>
                </c:pt>
                <c:pt idx="32">
                  <c:v>633.49</c:v>
                </c:pt>
                <c:pt idx="33">
                  <c:v>635.6</c:v>
                </c:pt>
                <c:pt idx="34">
                  <c:v>637.68999999999994</c:v>
                </c:pt>
                <c:pt idx="35">
                  <c:v>639.78</c:v>
                </c:pt>
                <c:pt idx="36">
                  <c:v>641.85</c:v>
                </c:pt>
                <c:pt idx="37">
                  <c:v>643.92000000000007</c:v>
                </c:pt>
                <c:pt idx="38">
                  <c:v>645.97</c:v>
                </c:pt>
                <c:pt idx="39">
                  <c:v>648.0200000000001</c:v>
                </c:pt>
                <c:pt idx="40">
                  <c:v>650.05999999999995</c:v>
                </c:pt>
                <c:pt idx="41">
                  <c:v>652.1</c:v>
                </c:pt>
                <c:pt idx="42">
                  <c:v>654.1400000000001</c:v>
                </c:pt>
                <c:pt idx="43">
                  <c:v>656.19</c:v>
                </c:pt>
                <c:pt idx="44">
                  <c:v>658.25</c:v>
                </c:pt>
                <c:pt idx="45">
                  <c:v>660.32</c:v>
                </c:pt>
                <c:pt idx="46">
                  <c:v>662.39</c:v>
                </c:pt>
                <c:pt idx="47">
                  <c:v>664.4799999999999</c:v>
                </c:pt>
                <c:pt idx="48">
                  <c:v>666.57</c:v>
                </c:pt>
                <c:pt idx="49">
                  <c:v>668.68000000000006</c:v>
                </c:pt>
                <c:pt idx="50">
                  <c:v>670.79</c:v>
                </c:pt>
                <c:pt idx="51">
                  <c:v>672.92</c:v>
                </c:pt>
                <c:pt idx="52">
                  <c:v>675.06999999999994</c:v>
                </c:pt>
                <c:pt idx="53">
                  <c:v>677.22</c:v>
                </c:pt>
                <c:pt idx="54">
                  <c:v>679.38</c:v>
                </c:pt>
                <c:pt idx="55">
                  <c:v>681.56000000000006</c:v>
                </c:pt>
                <c:pt idx="56">
                  <c:v>683.75</c:v>
                </c:pt>
                <c:pt idx="57">
                  <c:v>685.94999999999993</c:v>
                </c:pt>
                <c:pt idx="58">
                  <c:v>688.17</c:v>
                </c:pt>
                <c:pt idx="59">
                  <c:v>690.39</c:v>
                </c:pt>
                <c:pt idx="60">
                  <c:v>692.63</c:v>
                </c:pt>
                <c:pt idx="61">
                  <c:v>694.85</c:v>
                </c:pt>
                <c:pt idx="62">
                  <c:v>697.25</c:v>
                </c:pt>
                <c:pt idx="63">
                  <c:v>699.68</c:v>
                </c:pt>
                <c:pt idx="64">
                  <c:v>702.13</c:v>
                </c:pt>
                <c:pt idx="65">
                  <c:v>703.42000000000007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01-44C9-BD0A-54D03329D8B3}"/>
            </c:ext>
          </c:extLst>
        </c:ser>
        <c:ser>
          <c:idx val="1"/>
          <c:order val="1"/>
          <c:tx>
            <c:v>SpecHeat_Fit</c:v>
          </c:tx>
          <c:spPr>
            <a:ln w="254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'SI_Units (3)'!$A$2:$A$67</c:f>
              <c:numCache>
                <c:formatCode>0.00</c:formatCode>
                <c:ptCount val="66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</c:numCache>
            </c:numRef>
          </c:xVal>
          <c:yVal>
            <c:numRef>
              <c:f>'SI_Units (3)'!$U$2:$U$67</c:f>
              <c:numCache>
                <c:formatCode>General</c:formatCode>
                <c:ptCount val="66"/>
                <c:pt idx="0">
                  <c:v>559.38649913023744</c:v>
                </c:pt>
                <c:pt idx="1">
                  <c:v>560.52298222074728</c:v>
                </c:pt>
                <c:pt idx="2">
                  <c:v>562.79594840176708</c:v>
                </c:pt>
                <c:pt idx="3">
                  <c:v>565.06891458278687</c:v>
                </c:pt>
                <c:pt idx="4">
                  <c:v>567.34188076380667</c:v>
                </c:pt>
                <c:pt idx="5">
                  <c:v>569.61484694482647</c:v>
                </c:pt>
                <c:pt idx="6">
                  <c:v>571.88781312584626</c:v>
                </c:pt>
                <c:pt idx="7">
                  <c:v>574.16077930686606</c:v>
                </c:pt>
                <c:pt idx="8">
                  <c:v>576.43374548788574</c:v>
                </c:pt>
                <c:pt idx="9">
                  <c:v>578.70671166890565</c:v>
                </c:pt>
                <c:pt idx="10">
                  <c:v>580.97967784992534</c:v>
                </c:pt>
                <c:pt idx="11">
                  <c:v>583.25264403094513</c:v>
                </c:pt>
                <c:pt idx="12">
                  <c:v>585.52561021196493</c:v>
                </c:pt>
                <c:pt idx="13">
                  <c:v>587.79857639298473</c:v>
                </c:pt>
                <c:pt idx="14">
                  <c:v>590.07154257400452</c:v>
                </c:pt>
                <c:pt idx="15">
                  <c:v>592.34450875502432</c:v>
                </c:pt>
                <c:pt idx="16">
                  <c:v>594.61747493604412</c:v>
                </c:pt>
                <c:pt idx="17">
                  <c:v>596.89044111706392</c:v>
                </c:pt>
                <c:pt idx="18">
                  <c:v>599.16340729808371</c:v>
                </c:pt>
                <c:pt idx="19">
                  <c:v>601.43637347910351</c:v>
                </c:pt>
                <c:pt idx="20">
                  <c:v>603.70933966012331</c:v>
                </c:pt>
                <c:pt idx="21">
                  <c:v>605.98230584114299</c:v>
                </c:pt>
                <c:pt idx="22">
                  <c:v>608.25527202216279</c:v>
                </c:pt>
                <c:pt idx="23">
                  <c:v>610.52823820318258</c:v>
                </c:pt>
                <c:pt idx="24">
                  <c:v>612.80120438420238</c:v>
                </c:pt>
                <c:pt idx="25">
                  <c:v>615.07417056522218</c:v>
                </c:pt>
                <c:pt idx="26">
                  <c:v>617.34713674624197</c:v>
                </c:pt>
                <c:pt idx="27">
                  <c:v>619.62010292726177</c:v>
                </c:pt>
                <c:pt idx="28">
                  <c:v>621.89306910828157</c:v>
                </c:pt>
                <c:pt idx="29">
                  <c:v>624.16603528930136</c:v>
                </c:pt>
                <c:pt idx="30">
                  <c:v>626.43900147032116</c:v>
                </c:pt>
                <c:pt idx="31">
                  <c:v>628.71196765134096</c:v>
                </c:pt>
                <c:pt idx="32">
                  <c:v>630.98493383236064</c:v>
                </c:pt>
                <c:pt idx="33">
                  <c:v>633.25790001338055</c:v>
                </c:pt>
                <c:pt idx="34">
                  <c:v>635.53086619440023</c:v>
                </c:pt>
                <c:pt idx="35">
                  <c:v>637.80383237542003</c:v>
                </c:pt>
                <c:pt idx="36">
                  <c:v>640.07679855643983</c:v>
                </c:pt>
                <c:pt idx="37">
                  <c:v>642.34976473745962</c:v>
                </c:pt>
                <c:pt idx="38">
                  <c:v>644.62273091847942</c:v>
                </c:pt>
                <c:pt idx="39">
                  <c:v>646.89569709949922</c:v>
                </c:pt>
                <c:pt idx="40">
                  <c:v>649.16866328051901</c:v>
                </c:pt>
                <c:pt idx="41">
                  <c:v>651.44162946153881</c:v>
                </c:pt>
                <c:pt idx="42">
                  <c:v>653.71459564255861</c:v>
                </c:pt>
                <c:pt idx="43">
                  <c:v>655.9875618235784</c:v>
                </c:pt>
                <c:pt idx="44">
                  <c:v>658.2605280045982</c:v>
                </c:pt>
                <c:pt idx="45">
                  <c:v>660.53349418561788</c:v>
                </c:pt>
                <c:pt idx="46">
                  <c:v>662.80646036663779</c:v>
                </c:pt>
                <c:pt idx="47">
                  <c:v>665.07942654765748</c:v>
                </c:pt>
                <c:pt idx="48">
                  <c:v>667.35239272867727</c:v>
                </c:pt>
                <c:pt idx="49">
                  <c:v>669.62535890969707</c:v>
                </c:pt>
                <c:pt idx="50">
                  <c:v>671.89832509071687</c:v>
                </c:pt>
                <c:pt idx="51">
                  <c:v>674.17129127173666</c:v>
                </c:pt>
                <c:pt idx="52">
                  <c:v>676.44425745275646</c:v>
                </c:pt>
                <c:pt idx="53">
                  <c:v>678.71722363377626</c:v>
                </c:pt>
                <c:pt idx="54">
                  <c:v>680.99018981479605</c:v>
                </c:pt>
                <c:pt idx="55">
                  <c:v>683.26315599581585</c:v>
                </c:pt>
                <c:pt idx="56">
                  <c:v>685.53612217683553</c:v>
                </c:pt>
                <c:pt idx="57">
                  <c:v>687.80908835785544</c:v>
                </c:pt>
                <c:pt idx="58">
                  <c:v>690.08205453887513</c:v>
                </c:pt>
                <c:pt idx="59">
                  <c:v>692.35502071989492</c:v>
                </c:pt>
                <c:pt idx="60">
                  <c:v>694.62798690091472</c:v>
                </c:pt>
                <c:pt idx="61">
                  <c:v>696.90095308193452</c:v>
                </c:pt>
                <c:pt idx="62">
                  <c:v>699.17391926295431</c:v>
                </c:pt>
                <c:pt idx="63">
                  <c:v>701.44688544397411</c:v>
                </c:pt>
                <c:pt idx="64">
                  <c:v>703.71985162499391</c:v>
                </c:pt>
                <c:pt idx="65">
                  <c:v>705.9928178060137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F01-44C9-BD0A-54D03329D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851904"/>
        <c:axId val="1242851424"/>
      </c:scatterChart>
      <c:valAx>
        <c:axId val="124285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424"/>
        <c:crosses val="autoZero"/>
        <c:crossBetween val="midCat"/>
      </c:valAx>
      <c:valAx>
        <c:axId val="12428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5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492122</xdr:colOff>
      <xdr:row>36</xdr:row>
      <xdr:rowOff>85580</xdr:rowOff>
    </xdr:from>
    <xdr:to>
      <xdr:col>24</xdr:col>
      <xdr:colOff>191363</xdr:colOff>
      <xdr:row>50</xdr:row>
      <xdr:rowOff>161780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6DD24-1CC7-16AE-BFF3-8AD15C243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261501</xdr:colOff>
      <xdr:row>4</xdr:row>
      <xdr:rowOff>124834</xdr:rowOff>
    </xdr:from>
    <xdr:to>
      <xdr:col>23</xdr:col>
      <xdr:colOff>562837</xdr:colOff>
      <xdr:row>19</xdr:row>
      <xdr:rowOff>13421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0FB677-EB01-47D6-373D-1CA42DEC8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315765</xdr:colOff>
      <xdr:row>5</xdr:row>
      <xdr:rowOff>128587</xdr:rowOff>
    </xdr:from>
    <xdr:to>
      <xdr:col>32</xdr:col>
      <xdr:colOff>14429</xdr:colOff>
      <xdr:row>20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021FD1-7C93-4440-F312-681D9EFF0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325290</xdr:colOff>
      <xdr:row>19</xdr:row>
      <xdr:rowOff>185737</xdr:rowOff>
    </xdr:from>
    <xdr:to>
      <xdr:col>24</xdr:col>
      <xdr:colOff>23954</xdr:colOff>
      <xdr:row>34</xdr:row>
      <xdr:rowOff>71437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BEAC7F-077D-4F60-7EEC-6B38BDB8A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443053</xdr:colOff>
      <xdr:row>21</xdr:row>
      <xdr:rowOff>119352</xdr:rowOff>
    </xdr:from>
    <xdr:to>
      <xdr:col>32</xdr:col>
      <xdr:colOff>161056</xdr:colOff>
      <xdr:row>36</xdr:row>
      <xdr:rowOff>7938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C7B9C82-BE10-CF0C-FA28-F8405B6BF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477689</xdr:colOff>
      <xdr:row>37</xdr:row>
      <xdr:rowOff>129309</xdr:rowOff>
    </xdr:from>
    <xdr:to>
      <xdr:col>32</xdr:col>
      <xdr:colOff>200598</xdr:colOff>
      <xdr:row>52</xdr:row>
      <xdr:rowOff>58305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9C5192-88B8-FC13-2748-3017B262D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196847</xdr:colOff>
      <xdr:row>36</xdr:row>
      <xdr:rowOff>57005</xdr:rowOff>
    </xdr:from>
    <xdr:to>
      <xdr:col>29</xdr:col>
      <xdr:colOff>505688</xdr:colOff>
      <xdr:row>50</xdr:row>
      <xdr:rowOff>133205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1AB577-CCE2-49A0-8AE6-8DEFEB409C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90051</xdr:colOff>
      <xdr:row>4</xdr:row>
      <xdr:rowOff>124834</xdr:rowOff>
    </xdr:from>
    <xdr:to>
      <xdr:col>29</xdr:col>
      <xdr:colOff>391387</xdr:colOff>
      <xdr:row>19</xdr:row>
      <xdr:rowOff>13421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3E6B6B-F67B-4F5A-83E3-2CE546181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553890</xdr:colOff>
      <xdr:row>4</xdr:row>
      <xdr:rowOff>138112</xdr:rowOff>
    </xdr:from>
    <xdr:to>
      <xdr:col>37</xdr:col>
      <xdr:colOff>252554</xdr:colOff>
      <xdr:row>19</xdr:row>
      <xdr:rowOff>23812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E76999-2224-4CDB-B4DD-536EC4AA21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153840</xdr:colOff>
      <xdr:row>19</xdr:row>
      <xdr:rowOff>185737</xdr:rowOff>
    </xdr:from>
    <xdr:to>
      <xdr:col>29</xdr:col>
      <xdr:colOff>462104</xdr:colOff>
      <xdr:row>34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B07378-D8DC-4FF2-81C8-1DDB8E732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585928</xdr:colOff>
      <xdr:row>19</xdr:row>
      <xdr:rowOff>166977</xdr:rowOff>
    </xdr:from>
    <xdr:to>
      <xdr:col>37</xdr:col>
      <xdr:colOff>303931</xdr:colOff>
      <xdr:row>34</xdr:row>
      <xdr:rowOff>55563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CEE211-EC16-4EB4-9EDA-1AAAFCFE7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591989</xdr:colOff>
      <xdr:row>36</xdr:row>
      <xdr:rowOff>62634</xdr:rowOff>
    </xdr:from>
    <xdr:to>
      <xdr:col>37</xdr:col>
      <xdr:colOff>314898</xdr:colOff>
      <xdr:row>50</xdr:row>
      <xdr:rowOff>182130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79A4C3-D5A7-4F08-8280-3D9812D5B6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3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298.14999999999998</v>
      </c>
      <c r="B2">
        <v>4.4207299999999998</v>
      </c>
      <c r="C2">
        <v>0</v>
      </c>
      <c r="D2">
        <v>5.1322000000000001</v>
      </c>
      <c r="E2">
        <v>116.04975</v>
      </c>
      <c r="F2">
        <v>0.31797999999999998</v>
      </c>
      <c r="G2">
        <v>0.54966999999999999</v>
      </c>
    </row>
    <row r="3" spans="1:7" x14ac:dyDescent="0.25">
      <c r="A3">
        <v>303.14999999999998</v>
      </c>
      <c r="B3">
        <v>4.42014</v>
      </c>
      <c r="C3">
        <v>4.4520000000000002E-3</v>
      </c>
      <c r="D3">
        <v>5.2633200000000002</v>
      </c>
      <c r="E3">
        <v>115.78932</v>
      </c>
      <c r="F3">
        <v>0.31818000000000002</v>
      </c>
      <c r="G3">
        <v>0.55169000000000001</v>
      </c>
    </row>
    <row r="4" spans="1:7" x14ac:dyDescent="0.25">
      <c r="A4">
        <v>313.14999999999998</v>
      </c>
      <c r="B4">
        <v>4.4189499999999997</v>
      </c>
      <c r="C4">
        <v>1.3401400000000001E-2</v>
      </c>
      <c r="D4">
        <v>5.5197700000000003</v>
      </c>
      <c r="E4">
        <v>115.26810999999999</v>
      </c>
      <c r="F4">
        <v>0.31857000000000002</v>
      </c>
      <c r="G4">
        <v>0.55557000000000001</v>
      </c>
    </row>
    <row r="5" spans="1:7" x14ac:dyDescent="0.25">
      <c r="A5">
        <v>323.14999999999998</v>
      </c>
      <c r="B5">
        <v>4.4177600000000004</v>
      </c>
      <c r="C5">
        <v>2.24111E-2</v>
      </c>
      <c r="D5">
        <v>5.76912</v>
      </c>
      <c r="E5">
        <v>114.74644000000001</v>
      </c>
      <c r="F5">
        <v>0.31896000000000002</v>
      </c>
      <c r="G5">
        <v>0.55925999999999998</v>
      </c>
    </row>
    <row r="6" spans="1:7" x14ac:dyDescent="0.25">
      <c r="A6">
        <v>333.15</v>
      </c>
      <c r="B6">
        <v>4.4165599999999996</v>
      </c>
      <c r="C6">
        <v>3.1481200000000001E-2</v>
      </c>
      <c r="D6">
        <v>6.0120100000000001</v>
      </c>
      <c r="E6">
        <v>114.2243</v>
      </c>
      <c r="F6">
        <v>0.31934000000000001</v>
      </c>
      <c r="G6">
        <v>0.56279999999999997</v>
      </c>
    </row>
    <row r="7" spans="1:7" x14ac:dyDescent="0.25">
      <c r="A7">
        <v>343.15</v>
      </c>
      <c r="B7">
        <v>4.4153500000000001</v>
      </c>
      <c r="C7">
        <v>4.0611500000000002E-2</v>
      </c>
      <c r="D7">
        <v>6.2490100000000002</v>
      </c>
      <c r="E7">
        <v>113.7017</v>
      </c>
      <c r="F7">
        <v>0.31974000000000002</v>
      </c>
      <c r="G7">
        <v>0.56618000000000002</v>
      </c>
    </row>
    <row r="8" spans="1:7" x14ac:dyDescent="0.25">
      <c r="A8">
        <v>353.15</v>
      </c>
      <c r="B8">
        <v>4.4141300000000001</v>
      </c>
      <c r="C8">
        <v>4.9801900000000003E-2</v>
      </c>
      <c r="D8">
        <v>6.4806400000000002</v>
      </c>
      <c r="E8">
        <v>113.17863</v>
      </c>
      <c r="F8">
        <v>0.32013000000000003</v>
      </c>
      <c r="G8">
        <v>0.56943999999999995</v>
      </c>
    </row>
    <row r="9" spans="1:7" x14ac:dyDescent="0.25">
      <c r="A9">
        <v>363.15</v>
      </c>
      <c r="B9">
        <v>4.4129100000000001</v>
      </c>
      <c r="C9">
        <v>5.9052300000000002E-2</v>
      </c>
      <c r="D9">
        <v>6.7073499999999999</v>
      </c>
      <c r="E9">
        <v>112.65508</v>
      </c>
      <c r="F9">
        <v>0.32052000000000003</v>
      </c>
      <c r="G9">
        <v>0.57257999999999998</v>
      </c>
    </row>
    <row r="10" spans="1:7" x14ac:dyDescent="0.25">
      <c r="A10">
        <v>373.15</v>
      </c>
      <c r="B10">
        <v>4.4116799999999996</v>
      </c>
      <c r="C10">
        <v>6.8362699999999998E-2</v>
      </c>
      <c r="D10">
        <v>6.9295299999999997</v>
      </c>
      <c r="E10">
        <v>112.13106000000001</v>
      </c>
      <c r="F10">
        <v>0.32090999999999997</v>
      </c>
      <c r="G10">
        <v>0.57562000000000002</v>
      </c>
    </row>
    <row r="11" spans="1:7" x14ac:dyDescent="0.25">
      <c r="A11">
        <v>383.15</v>
      </c>
      <c r="B11">
        <v>4.4104400000000004</v>
      </c>
      <c r="C11">
        <v>7.7732899999999994E-2</v>
      </c>
      <c r="D11">
        <v>7.1475600000000004</v>
      </c>
      <c r="E11">
        <v>111.60656</v>
      </c>
      <c r="F11">
        <v>0.32130999999999998</v>
      </c>
      <c r="G11">
        <v>0.57857000000000003</v>
      </c>
    </row>
    <row r="12" spans="1:7" x14ac:dyDescent="0.25">
      <c r="A12">
        <v>393.15</v>
      </c>
      <c r="B12">
        <v>4.4092000000000002</v>
      </c>
      <c r="C12">
        <v>8.7163000000000004E-2</v>
      </c>
      <c r="D12">
        <v>7.3617400000000002</v>
      </c>
      <c r="E12">
        <v>111.08159000000001</v>
      </c>
      <c r="F12">
        <v>0.32169999999999999</v>
      </c>
      <c r="G12">
        <v>0.58143999999999996</v>
      </c>
    </row>
    <row r="13" spans="1:7" x14ac:dyDescent="0.25">
      <c r="A13">
        <v>403.15</v>
      </c>
      <c r="B13">
        <v>4.4079499999999996</v>
      </c>
      <c r="C13">
        <v>9.6652699999999994E-2</v>
      </c>
      <c r="D13">
        <v>7.5723799999999999</v>
      </c>
      <c r="E13">
        <v>110.55614</v>
      </c>
      <c r="F13">
        <v>0.3221</v>
      </c>
      <c r="G13">
        <v>0.58423000000000003</v>
      </c>
    </row>
    <row r="14" spans="1:7" x14ac:dyDescent="0.25">
      <c r="A14">
        <v>413.15</v>
      </c>
      <c r="B14">
        <v>4.4066900000000002</v>
      </c>
      <c r="C14">
        <v>0.1062</v>
      </c>
      <c r="D14">
        <v>7.7797400000000003</v>
      </c>
      <c r="E14">
        <v>110.03019999999999</v>
      </c>
      <c r="F14">
        <v>0.32249</v>
      </c>
      <c r="G14">
        <v>0.58694999999999997</v>
      </c>
    </row>
    <row r="15" spans="1:7" x14ac:dyDescent="0.25">
      <c r="A15">
        <v>423.15</v>
      </c>
      <c r="B15">
        <v>4.4054200000000003</v>
      </c>
      <c r="C15">
        <v>0.11581</v>
      </c>
      <c r="D15">
        <v>7.9840499999999999</v>
      </c>
      <c r="E15">
        <v>109.50378000000001</v>
      </c>
      <c r="F15">
        <v>0.32289000000000001</v>
      </c>
      <c r="G15">
        <v>0.58962000000000003</v>
      </c>
    </row>
    <row r="16" spans="1:7" x14ac:dyDescent="0.25">
      <c r="A16">
        <v>433.15</v>
      </c>
      <c r="B16">
        <v>4.4041499999999996</v>
      </c>
      <c r="C16">
        <v>0.12548000000000001</v>
      </c>
      <c r="D16">
        <v>8.1855399999999996</v>
      </c>
      <c r="E16">
        <v>108.97687999999999</v>
      </c>
      <c r="F16">
        <v>0.32329000000000002</v>
      </c>
      <c r="G16">
        <v>0.59221999999999997</v>
      </c>
    </row>
    <row r="17" spans="1:7" x14ac:dyDescent="0.25">
      <c r="A17">
        <v>443.15</v>
      </c>
      <c r="B17">
        <v>4.4028700000000001</v>
      </c>
      <c r="C17">
        <v>0.13521</v>
      </c>
      <c r="D17">
        <v>8.3843899999999998</v>
      </c>
      <c r="E17">
        <v>108.4495</v>
      </c>
      <c r="F17">
        <v>0.32368999999999998</v>
      </c>
      <c r="G17">
        <v>0.59477999999999998</v>
      </c>
    </row>
    <row r="18" spans="1:7" x14ac:dyDescent="0.25">
      <c r="A18">
        <v>453.15</v>
      </c>
      <c r="B18">
        <v>4.40158</v>
      </c>
      <c r="C18">
        <v>0.14499000000000001</v>
      </c>
      <c r="D18">
        <v>8.5807900000000004</v>
      </c>
      <c r="E18">
        <v>107.92164</v>
      </c>
      <c r="F18">
        <v>0.32408999999999999</v>
      </c>
      <c r="G18">
        <v>0.59728999999999999</v>
      </c>
    </row>
    <row r="19" spans="1:7" x14ac:dyDescent="0.25">
      <c r="A19">
        <v>463.15</v>
      </c>
      <c r="B19">
        <v>4.40029</v>
      </c>
      <c r="C19">
        <v>0.15484000000000001</v>
      </c>
      <c r="D19">
        <v>8.7748899999999992</v>
      </c>
      <c r="E19">
        <v>107.39328</v>
      </c>
      <c r="F19">
        <v>0.32449</v>
      </c>
      <c r="G19">
        <v>0.59975999999999996</v>
      </c>
    </row>
    <row r="20" spans="1:7" x14ac:dyDescent="0.25">
      <c r="A20">
        <v>473.15</v>
      </c>
      <c r="B20">
        <v>4.3989900000000004</v>
      </c>
      <c r="C20">
        <v>0.16475000000000001</v>
      </c>
      <c r="D20">
        <v>8.9668600000000005</v>
      </c>
      <c r="E20">
        <v>106.86445000000001</v>
      </c>
      <c r="F20">
        <v>0.32489000000000001</v>
      </c>
      <c r="G20">
        <v>0.60219</v>
      </c>
    </row>
    <row r="21" spans="1:7" x14ac:dyDescent="0.25">
      <c r="A21">
        <v>483.15</v>
      </c>
      <c r="B21">
        <v>4.3976800000000003</v>
      </c>
      <c r="C21">
        <v>0.17471</v>
      </c>
      <c r="D21">
        <v>9.1568299999999994</v>
      </c>
      <c r="E21">
        <v>106.33512</v>
      </c>
      <c r="F21">
        <v>0.32529999999999998</v>
      </c>
      <c r="G21">
        <v>0.60458000000000001</v>
      </c>
    </row>
    <row r="22" spans="1:7" x14ac:dyDescent="0.25">
      <c r="A22">
        <v>493.15</v>
      </c>
      <c r="B22">
        <v>4.3963599999999996</v>
      </c>
      <c r="C22">
        <v>0.18473000000000001</v>
      </c>
      <c r="D22">
        <v>9.3449200000000001</v>
      </c>
      <c r="E22">
        <v>105.80531999999999</v>
      </c>
      <c r="F22">
        <v>0.32569999999999999</v>
      </c>
      <c r="G22">
        <v>0.60694000000000004</v>
      </c>
    </row>
    <row r="23" spans="1:7" x14ac:dyDescent="0.25">
      <c r="A23">
        <v>503.15</v>
      </c>
      <c r="B23">
        <v>4.3950399999999998</v>
      </c>
      <c r="C23">
        <v>0.19481000000000001</v>
      </c>
      <c r="D23">
        <v>9.53125</v>
      </c>
      <c r="E23">
        <v>105.27502</v>
      </c>
      <c r="F23">
        <v>0.3261</v>
      </c>
      <c r="G23">
        <v>0.60926999999999998</v>
      </c>
    </row>
    <row r="24" spans="1:7" x14ac:dyDescent="0.25">
      <c r="A24">
        <v>513.15</v>
      </c>
      <c r="B24">
        <v>4.3937099999999996</v>
      </c>
      <c r="C24">
        <v>0.20496</v>
      </c>
      <c r="D24">
        <v>9.7159300000000002</v>
      </c>
      <c r="E24">
        <v>104.74424</v>
      </c>
      <c r="F24">
        <v>0.32651000000000002</v>
      </c>
      <c r="G24">
        <v>0.61158000000000001</v>
      </c>
    </row>
    <row r="25" spans="1:7" x14ac:dyDescent="0.25">
      <c r="A25">
        <v>523.15</v>
      </c>
      <c r="B25">
        <v>4.3923800000000002</v>
      </c>
      <c r="C25">
        <v>0.21515000000000001</v>
      </c>
      <c r="D25">
        <v>9.8990500000000008</v>
      </c>
      <c r="E25">
        <v>104.21297</v>
      </c>
      <c r="F25">
        <v>0.32691999999999999</v>
      </c>
      <c r="G25">
        <v>0.61385999999999996</v>
      </c>
    </row>
    <row r="26" spans="1:7" x14ac:dyDescent="0.25">
      <c r="A26">
        <v>533.15</v>
      </c>
      <c r="B26">
        <v>4.3910299999999998</v>
      </c>
      <c r="C26">
        <v>0.22541</v>
      </c>
      <c r="D26">
        <v>10.08071</v>
      </c>
      <c r="E26">
        <v>103.68122</v>
      </c>
      <c r="F26">
        <v>0.32732</v>
      </c>
      <c r="G26">
        <v>0.61611000000000005</v>
      </c>
    </row>
    <row r="27" spans="1:7" x14ac:dyDescent="0.25">
      <c r="A27">
        <v>543.15</v>
      </c>
      <c r="B27">
        <v>4.3896800000000002</v>
      </c>
      <c r="C27">
        <v>0.23573</v>
      </c>
      <c r="D27">
        <v>10.26099</v>
      </c>
      <c r="E27">
        <v>103.14897000000001</v>
      </c>
      <c r="F27">
        <v>0.32773000000000002</v>
      </c>
      <c r="G27">
        <v>0.61834999999999996</v>
      </c>
    </row>
    <row r="28" spans="1:7" x14ac:dyDescent="0.25">
      <c r="A28">
        <v>553.15</v>
      </c>
      <c r="B28">
        <v>4.3883299999999998</v>
      </c>
      <c r="C28">
        <v>0.24610000000000001</v>
      </c>
      <c r="D28">
        <v>10.439970000000001</v>
      </c>
      <c r="E28">
        <v>102.61624</v>
      </c>
      <c r="F28">
        <v>0.32813999999999999</v>
      </c>
      <c r="G28">
        <v>0.62056</v>
      </c>
    </row>
    <row r="29" spans="1:7" x14ac:dyDescent="0.25">
      <c r="A29">
        <v>563.15</v>
      </c>
      <c r="B29">
        <v>4.3869699999999998</v>
      </c>
      <c r="C29">
        <v>0.25653999999999999</v>
      </c>
      <c r="D29">
        <v>10.61773</v>
      </c>
      <c r="E29">
        <v>102.08302</v>
      </c>
      <c r="F29">
        <v>0.32855000000000001</v>
      </c>
      <c r="G29">
        <v>0.62275000000000003</v>
      </c>
    </row>
    <row r="30" spans="1:7" x14ac:dyDescent="0.25">
      <c r="A30">
        <v>573.15</v>
      </c>
      <c r="B30">
        <v>4.3856000000000002</v>
      </c>
      <c r="C30">
        <v>0.26702999999999999</v>
      </c>
      <c r="D30">
        <v>10.79433</v>
      </c>
      <c r="E30">
        <v>101.54931999999999</v>
      </c>
      <c r="F30">
        <v>0.32895999999999997</v>
      </c>
      <c r="G30">
        <v>0.62492999999999999</v>
      </c>
    </row>
    <row r="31" spans="1:7" x14ac:dyDescent="0.25">
      <c r="A31">
        <v>583.15</v>
      </c>
      <c r="B31">
        <v>4.38422</v>
      </c>
      <c r="C31">
        <v>0.27757999999999999</v>
      </c>
      <c r="D31">
        <v>10.96983</v>
      </c>
      <c r="E31">
        <v>101.01513</v>
      </c>
      <c r="F31">
        <v>0.32937</v>
      </c>
      <c r="G31">
        <v>0.62709000000000004</v>
      </c>
    </row>
    <row r="32" spans="1:7" x14ac:dyDescent="0.25">
      <c r="A32">
        <v>593.15</v>
      </c>
      <c r="B32">
        <v>4.3828399999999998</v>
      </c>
      <c r="C32">
        <v>0.28819</v>
      </c>
      <c r="D32">
        <v>11.14429</v>
      </c>
      <c r="E32">
        <v>100.48045</v>
      </c>
      <c r="F32">
        <v>0.32978000000000002</v>
      </c>
      <c r="G32">
        <v>0.62924000000000002</v>
      </c>
    </row>
    <row r="33" spans="1:7" x14ac:dyDescent="0.25">
      <c r="A33">
        <v>603.15</v>
      </c>
      <c r="B33">
        <v>4.3814500000000001</v>
      </c>
      <c r="C33">
        <v>0.29885</v>
      </c>
      <c r="D33">
        <v>11.317780000000001</v>
      </c>
      <c r="E33">
        <v>99.945279999999997</v>
      </c>
      <c r="F33">
        <v>0.33019999999999999</v>
      </c>
      <c r="G33">
        <v>0.63136999999999999</v>
      </c>
    </row>
    <row r="34" spans="1:7" x14ac:dyDescent="0.25">
      <c r="A34">
        <v>613.15</v>
      </c>
      <c r="B34">
        <v>4.3800499999999998</v>
      </c>
      <c r="C34">
        <v>0.30958000000000002</v>
      </c>
      <c r="D34">
        <v>11.49033</v>
      </c>
      <c r="E34">
        <v>99.409630000000007</v>
      </c>
      <c r="F34">
        <v>0.33061000000000001</v>
      </c>
      <c r="G34">
        <v>0.63349</v>
      </c>
    </row>
    <row r="35" spans="1:7" x14ac:dyDescent="0.25">
      <c r="A35">
        <v>623.15</v>
      </c>
      <c r="B35">
        <v>4.3786500000000004</v>
      </c>
      <c r="C35">
        <v>0.32035999999999998</v>
      </c>
      <c r="D35">
        <v>11.66201</v>
      </c>
      <c r="E35">
        <v>98.873480000000001</v>
      </c>
      <c r="F35">
        <v>0.33102999999999999</v>
      </c>
      <c r="G35">
        <v>0.63560000000000005</v>
      </c>
    </row>
    <row r="36" spans="1:7" x14ac:dyDescent="0.25">
      <c r="A36">
        <v>633.15</v>
      </c>
      <c r="B36">
        <v>4.3772399999999996</v>
      </c>
      <c r="C36">
        <v>0.33119999999999999</v>
      </c>
      <c r="D36">
        <v>11.832839999999999</v>
      </c>
      <c r="E36">
        <v>98.336860000000001</v>
      </c>
      <c r="F36">
        <v>0.33144000000000001</v>
      </c>
      <c r="G36">
        <v>0.63768999999999998</v>
      </c>
    </row>
    <row r="37" spans="1:7" x14ac:dyDescent="0.25">
      <c r="A37">
        <v>643.15</v>
      </c>
      <c r="B37">
        <v>4.37582</v>
      </c>
      <c r="C37">
        <v>0.34209000000000001</v>
      </c>
      <c r="D37">
        <v>12.002879999999999</v>
      </c>
      <c r="E37">
        <v>97.79974</v>
      </c>
      <c r="F37">
        <v>0.33185999999999999</v>
      </c>
      <c r="G37">
        <v>0.63978000000000002</v>
      </c>
    </row>
    <row r="38" spans="1:7" x14ac:dyDescent="0.25">
      <c r="A38">
        <v>653.15</v>
      </c>
      <c r="B38">
        <v>4.3743999999999996</v>
      </c>
      <c r="C38">
        <v>0.35304999999999997</v>
      </c>
      <c r="D38">
        <v>12.172169999999999</v>
      </c>
      <c r="E38">
        <v>97.262140000000002</v>
      </c>
      <c r="F38">
        <v>0.33228000000000002</v>
      </c>
      <c r="G38">
        <v>0.64185000000000003</v>
      </c>
    </row>
    <row r="39" spans="1:7" x14ac:dyDescent="0.25">
      <c r="A39">
        <v>663.15</v>
      </c>
      <c r="B39">
        <v>4.3729699999999996</v>
      </c>
      <c r="C39">
        <v>0.36405999999999999</v>
      </c>
      <c r="D39">
        <v>12.34074</v>
      </c>
      <c r="E39">
        <v>96.724050000000005</v>
      </c>
      <c r="F39">
        <v>0.3327</v>
      </c>
      <c r="G39">
        <v>0.64392000000000005</v>
      </c>
    </row>
    <row r="40" spans="1:7" x14ac:dyDescent="0.25">
      <c r="A40">
        <v>673.15</v>
      </c>
      <c r="B40">
        <v>4.3715299999999999</v>
      </c>
      <c r="C40">
        <v>0.37513000000000002</v>
      </c>
      <c r="D40">
        <v>12.508620000000001</v>
      </c>
      <c r="E40">
        <v>96.185469999999995</v>
      </c>
      <c r="F40">
        <v>0.33312000000000003</v>
      </c>
      <c r="G40">
        <v>0.64597000000000004</v>
      </c>
    </row>
    <row r="41" spans="1:7" x14ac:dyDescent="0.25">
      <c r="A41">
        <v>683.15</v>
      </c>
      <c r="B41">
        <v>4.3700900000000003</v>
      </c>
      <c r="C41">
        <v>0.38624999999999998</v>
      </c>
      <c r="D41">
        <v>12.67586</v>
      </c>
      <c r="E41">
        <v>95.6464</v>
      </c>
      <c r="F41">
        <v>0.33354</v>
      </c>
      <c r="G41">
        <v>0.64802000000000004</v>
      </c>
    </row>
    <row r="42" spans="1:7" x14ac:dyDescent="0.25">
      <c r="A42">
        <v>693.15</v>
      </c>
      <c r="B42">
        <v>4.3686400000000001</v>
      </c>
      <c r="C42">
        <v>0.39744000000000002</v>
      </c>
      <c r="D42">
        <v>12.84248</v>
      </c>
      <c r="E42">
        <v>95.106849999999994</v>
      </c>
      <c r="F42">
        <v>0.33395999999999998</v>
      </c>
      <c r="G42">
        <v>0.65005999999999997</v>
      </c>
    </row>
    <row r="43" spans="1:7" x14ac:dyDescent="0.25">
      <c r="A43">
        <v>703.15</v>
      </c>
      <c r="B43">
        <v>4.3671800000000003</v>
      </c>
      <c r="C43">
        <v>0.40867999999999999</v>
      </c>
      <c r="D43">
        <v>13.008509999999999</v>
      </c>
      <c r="E43">
        <v>94.566810000000004</v>
      </c>
      <c r="F43">
        <v>0.33438000000000001</v>
      </c>
      <c r="G43">
        <v>0.65210000000000001</v>
      </c>
    </row>
    <row r="44" spans="1:7" x14ac:dyDescent="0.25">
      <c r="A44">
        <v>713.15</v>
      </c>
      <c r="B44">
        <v>4.3657199999999996</v>
      </c>
      <c r="C44">
        <v>0.41998000000000002</v>
      </c>
      <c r="D44">
        <v>13.17398</v>
      </c>
      <c r="E44">
        <v>94.026290000000003</v>
      </c>
      <c r="F44">
        <v>0.33479999999999999</v>
      </c>
      <c r="G44">
        <v>0.65414000000000005</v>
      </c>
    </row>
    <row r="45" spans="1:7" x14ac:dyDescent="0.25">
      <c r="A45">
        <v>723.15</v>
      </c>
      <c r="B45">
        <v>4.3642500000000002</v>
      </c>
      <c r="C45">
        <v>0.43132999999999999</v>
      </c>
      <c r="D45">
        <v>13.33892</v>
      </c>
      <c r="E45">
        <v>93.485280000000003</v>
      </c>
      <c r="F45">
        <v>0.33522999999999997</v>
      </c>
      <c r="G45">
        <v>0.65619000000000005</v>
      </c>
    </row>
    <row r="46" spans="1:7" x14ac:dyDescent="0.25">
      <c r="A46">
        <v>733.15</v>
      </c>
      <c r="B46">
        <v>4.3627799999999999</v>
      </c>
      <c r="C46">
        <v>0.44274000000000002</v>
      </c>
      <c r="D46">
        <v>13.50334</v>
      </c>
      <c r="E46">
        <v>92.943790000000007</v>
      </c>
      <c r="F46">
        <v>0.33565</v>
      </c>
      <c r="G46">
        <v>0.65825</v>
      </c>
    </row>
    <row r="47" spans="1:7" x14ac:dyDescent="0.25">
      <c r="A47">
        <v>743.15</v>
      </c>
      <c r="B47">
        <v>4.3613</v>
      </c>
      <c r="C47">
        <v>0.45421</v>
      </c>
      <c r="D47">
        <v>13.66728</v>
      </c>
      <c r="E47">
        <v>92.401799999999994</v>
      </c>
      <c r="F47">
        <v>0.33607999999999999</v>
      </c>
      <c r="G47">
        <v>0.66032000000000002</v>
      </c>
    </row>
    <row r="48" spans="1:7" x14ac:dyDescent="0.25">
      <c r="A48">
        <v>753.15</v>
      </c>
      <c r="B48">
        <v>4.3598100000000004</v>
      </c>
      <c r="C48">
        <v>0.46573999999999999</v>
      </c>
      <c r="D48">
        <v>13.83075</v>
      </c>
      <c r="E48">
        <v>91.859340000000003</v>
      </c>
      <c r="F48">
        <v>0.33650999999999998</v>
      </c>
      <c r="G48">
        <v>0.66239000000000003</v>
      </c>
    </row>
    <row r="49" spans="1:7" x14ac:dyDescent="0.25">
      <c r="A49">
        <v>763.15</v>
      </c>
      <c r="B49">
        <v>4.35832</v>
      </c>
      <c r="C49">
        <v>0.47732000000000002</v>
      </c>
      <c r="D49">
        <v>13.993779999999999</v>
      </c>
      <c r="E49">
        <v>91.316379999999995</v>
      </c>
      <c r="F49">
        <v>0.33693000000000001</v>
      </c>
      <c r="G49">
        <v>0.66447999999999996</v>
      </c>
    </row>
    <row r="50" spans="1:7" x14ac:dyDescent="0.25">
      <c r="A50">
        <v>773.15</v>
      </c>
      <c r="B50">
        <v>4.3568199999999999</v>
      </c>
      <c r="C50">
        <v>0.48895</v>
      </c>
      <c r="D50">
        <v>14.15639</v>
      </c>
      <c r="E50">
        <v>90.772949999999994</v>
      </c>
      <c r="F50">
        <v>0.33735999999999999</v>
      </c>
      <c r="G50">
        <v>0.66657</v>
      </c>
    </row>
    <row r="51" spans="1:7" x14ac:dyDescent="0.25">
      <c r="A51">
        <v>783.15</v>
      </c>
      <c r="B51">
        <v>4.3553100000000002</v>
      </c>
      <c r="C51">
        <v>0.50065000000000004</v>
      </c>
      <c r="D51">
        <v>14.31859</v>
      </c>
      <c r="E51">
        <v>90.229020000000006</v>
      </c>
      <c r="F51">
        <v>0.33778999999999998</v>
      </c>
      <c r="G51">
        <v>0.66868000000000005</v>
      </c>
    </row>
    <row r="52" spans="1:7" x14ac:dyDescent="0.25">
      <c r="A52">
        <v>793.15</v>
      </c>
      <c r="B52">
        <v>4.3537999999999997</v>
      </c>
      <c r="C52">
        <v>0.51239999999999997</v>
      </c>
      <c r="D52">
        <v>14.480399999999999</v>
      </c>
      <c r="E52">
        <v>89.684610000000006</v>
      </c>
      <c r="F52">
        <v>0.33822000000000002</v>
      </c>
      <c r="G52">
        <v>0.67079</v>
      </c>
    </row>
    <row r="53" spans="1:7" x14ac:dyDescent="0.25">
      <c r="A53">
        <v>803.15</v>
      </c>
      <c r="B53">
        <v>4.3522800000000004</v>
      </c>
      <c r="C53">
        <v>0.52420999999999995</v>
      </c>
      <c r="D53">
        <v>14.64185</v>
      </c>
      <c r="E53">
        <v>89.139709999999994</v>
      </c>
      <c r="F53">
        <v>0.33865000000000001</v>
      </c>
      <c r="G53">
        <v>0.67291999999999996</v>
      </c>
    </row>
    <row r="54" spans="1:7" x14ac:dyDescent="0.25">
      <c r="A54">
        <v>813.15</v>
      </c>
      <c r="B54">
        <v>4.3507600000000002</v>
      </c>
      <c r="C54">
        <v>0.53607000000000005</v>
      </c>
      <c r="D54">
        <v>14.80294</v>
      </c>
      <c r="E54">
        <v>88.594329999999999</v>
      </c>
      <c r="F54">
        <v>0.33907999999999999</v>
      </c>
      <c r="G54">
        <v>0.67506999999999995</v>
      </c>
    </row>
    <row r="55" spans="1:7" x14ac:dyDescent="0.25">
      <c r="A55">
        <v>823.15</v>
      </c>
      <c r="B55">
        <v>4.3492300000000004</v>
      </c>
      <c r="C55">
        <v>0.54798999999999998</v>
      </c>
      <c r="D55">
        <v>14.96369</v>
      </c>
      <c r="E55">
        <v>88.048460000000006</v>
      </c>
      <c r="F55">
        <v>0.33951999999999999</v>
      </c>
      <c r="G55">
        <v>0.67722000000000004</v>
      </c>
    </row>
    <row r="56" spans="1:7" x14ac:dyDescent="0.25">
      <c r="A56">
        <v>833.15</v>
      </c>
      <c r="B56">
        <v>4.3476900000000001</v>
      </c>
      <c r="C56">
        <v>0.55996999999999997</v>
      </c>
      <c r="D56">
        <v>15.12412</v>
      </c>
      <c r="E56">
        <v>87.502110000000002</v>
      </c>
      <c r="F56">
        <v>0.33994999999999997</v>
      </c>
      <c r="G56">
        <v>0.67937999999999998</v>
      </c>
    </row>
    <row r="57" spans="1:7" x14ac:dyDescent="0.25">
      <c r="A57">
        <v>843.15</v>
      </c>
      <c r="B57">
        <v>4.3461499999999997</v>
      </c>
      <c r="C57">
        <v>0.57199999999999995</v>
      </c>
      <c r="D57">
        <v>15.28424</v>
      </c>
      <c r="E57">
        <v>86.955269999999999</v>
      </c>
      <c r="F57">
        <v>0.34038000000000002</v>
      </c>
      <c r="G57">
        <v>0.68156000000000005</v>
      </c>
    </row>
    <row r="58" spans="1:7" x14ac:dyDescent="0.25">
      <c r="A58">
        <v>853.15</v>
      </c>
      <c r="B58">
        <v>4.3445999999999998</v>
      </c>
      <c r="C58">
        <v>0.58408000000000004</v>
      </c>
      <c r="D58">
        <v>15.44407</v>
      </c>
      <c r="E58">
        <v>86.407939999999996</v>
      </c>
      <c r="F58">
        <v>0.34082000000000001</v>
      </c>
      <c r="G58">
        <v>0.68374999999999997</v>
      </c>
    </row>
    <row r="59" spans="1:7" x14ac:dyDescent="0.25">
      <c r="A59">
        <v>863.15</v>
      </c>
      <c r="B59">
        <v>4.3430400000000002</v>
      </c>
      <c r="C59">
        <v>0.59623000000000004</v>
      </c>
      <c r="D59">
        <v>15.60361</v>
      </c>
      <c r="E59">
        <v>85.860129999999998</v>
      </c>
      <c r="F59">
        <v>0.34126000000000001</v>
      </c>
      <c r="G59">
        <v>0.68594999999999995</v>
      </c>
    </row>
    <row r="60" spans="1:7" x14ac:dyDescent="0.25">
      <c r="A60">
        <v>873.15</v>
      </c>
      <c r="B60">
        <v>4.3414799999999998</v>
      </c>
      <c r="C60">
        <v>0.60843000000000003</v>
      </c>
      <c r="D60">
        <v>15.762879999999999</v>
      </c>
      <c r="E60">
        <v>85.31183</v>
      </c>
      <c r="F60">
        <v>0.34168999999999999</v>
      </c>
      <c r="G60">
        <v>0.68816999999999995</v>
      </c>
    </row>
    <row r="61" spans="1:7" x14ac:dyDescent="0.25">
      <c r="A61">
        <v>883.15</v>
      </c>
      <c r="B61">
        <v>4.3399200000000002</v>
      </c>
      <c r="C61">
        <v>0.62068000000000001</v>
      </c>
      <c r="D61">
        <v>15.921889999999999</v>
      </c>
      <c r="E61">
        <v>84.763050000000007</v>
      </c>
      <c r="F61">
        <v>0.34212999999999999</v>
      </c>
      <c r="G61">
        <v>0.69038999999999995</v>
      </c>
    </row>
    <row r="62" spans="1:7" x14ac:dyDescent="0.25">
      <c r="A62">
        <v>893.15</v>
      </c>
      <c r="B62">
        <v>4.3383399999999996</v>
      </c>
      <c r="C62">
        <v>0.63299000000000005</v>
      </c>
      <c r="D62">
        <v>16.080649999999999</v>
      </c>
      <c r="E62">
        <v>84.21378</v>
      </c>
      <c r="F62">
        <v>0.34256999999999999</v>
      </c>
      <c r="G62">
        <v>0.69262999999999997</v>
      </c>
    </row>
    <row r="63" spans="1:7" x14ac:dyDescent="0.25">
      <c r="A63">
        <v>903.15</v>
      </c>
      <c r="B63">
        <v>4.3367699999999996</v>
      </c>
      <c r="C63">
        <v>0.64534999999999998</v>
      </c>
      <c r="D63">
        <v>16.239170000000001</v>
      </c>
      <c r="E63">
        <v>83.664029999999997</v>
      </c>
      <c r="F63">
        <v>0.34300999999999998</v>
      </c>
      <c r="G63">
        <v>0.69484999999999997</v>
      </c>
    </row>
    <row r="64" spans="1:7" x14ac:dyDescent="0.25">
      <c r="A64">
        <v>913.15</v>
      </c>
      <c r="B64">
        <v>4.3351800000000003</v>
      </c>
      <c r="C64">
        <v>0.65776999999999997</v>
      </c>
      <c r="D64">
        <v>16.397469999999998</v>
      </c>
      <c r="E64">
        <v>83.113789999999995</v>
      </c>
      <c r="F64">
        <v>0.34344999999999998</v>
      </c>
      <c r="G64">
        <v>0.69725000000000004</v>
      </c>
    </row>
    <row r="65" spans="1:7" x14ac:dyDescent="0.25">
      <c r="A65">
        <v>923.15</v>
      </c>
      <c r="B65">
        <v>4.3335900000000001</v>
      </c>
      <c r="C65">
        <v>0.67025000000000001</v>
      </c>
      <c r="D65">
        <v>16.55555</v>
      </c>
      <c r="E65">
        <v>82.563059999999993</v>
      </c>
      <c r="F65">
        <v>0.34388999999999997</v>
      </c>
      <c r="G65">
        <v>0.69967999999999997</v>
      </c>
    </row>
    <row r="66" spans="1:7" x14ac:dyDescent="0.25">
      <c r="A66">
        <v>933.15</v>
      </c>
      <c r="B66">
        <v>4.3319900000000002</v>
      </c>
      <c r="C66">
        <v>0.68278000000000005</v>
      </c>
      <c r="D66">
        <v>16.71341</v>
      </c>
      <c r="E66">
        <v>82.011849999999995</v>
      </c>
      <c r="F66">
        <v>0.34433000000000002</v>
      </c>
      <c r="G66">
        <v>0.70213000000000003</v>
      </c>
    </row>
    <row r="67" spans="1:7" x14ac:dyDescent="0.25">
      <c r="A67">
        <v>943.15</v>
      </c>
      <c r="B67">
        <v>4.3303900000000004</v>
      </c>
      <c r="C67">
        <v>0.69537000000000004</v>
      </c>
      <c r="D67">
        <v>16.871079999999999</v>
      </c>
      <c r="E67">
        <v>81.460149999999999</v>
      </c>
      <c r="F67">
        <v>0.34477999999999998</v>
      </c>
      <c r="G67">
        <v>0.70342000000000005</v>
      </c>
    </row>
    <row r="68" spans="1:7" x14ac:dyDescent="0.25">
      <c r="A68">
        <v>953.15</v>
      </c>
      <c r="B68">
        <v>4.3287800000000001</v>
      </c>
      <c r="C68">
        <v>0.70801000000000003</v>
      </c>
      <c r="D68">
        <v>17.028559999999999</v>
      </c>
      <c r="E68">
        <v>80.907960000000003</v>
      </c>
      <c r="F68">
        <v>0.34522000000000003</v>
      </c>
      <c r="G68">
        <v>0.70472999999999997</v>
      </c>
    </row>
    <row r="69" spans="1:7" x14ac:dyDescent="0.25">
      <c r="A69">
        <v>963.15</v>
      </c>
      <c r="B69">
        <v>4.3271699999999997</v>
      </c>
      <c r="C69">
        <v>0.72070000000000001</v>
      </c>
      <c r="D69">
        <v>17.185849999999999</v>
      </c>
      <c r="E69">
        <v>80.355289999999997</v>
      </c>
      <c r="F69">
        <v>0.34566999999999998</v>
      </c>
      <c r="G69">
        <v>0.70609</v>
      </c>
    </row>
    <row r="70" spans="1:7" x14ac:dyDescent="0.25">
      <c r="A70">
        <v>973.15</v>
      </c>
      <c r="B70">
        <v>4.3255499999999998</v>
      </c>
      <c r="C70">
        <v>0.73345000000000005</v>
      </c>
      <c r="D70">
        <v>17.342970000000001</v>
      </c>
      <c r="E70">
        <v>79.802130000000005</v>
      </c>
      <c r="F70">
        <v>0.34610999999999997</v>
      </c>
      <c r="G70">
        <v>0.70750000000000002</v>
      </c>
    </row>
    <row r="71" spans="1:7" x14ac:dyDescent="0.25">
      <c r="A71">
        <v>983.15</v>
      </c>
      <c r="B71">
        <v>4.3239200000000002</v>
      </c>
      <c r="C71">
        <v>0.74626000000000003</v>
      </c>
      <c r="D71">
        <v>17.499919999999999</v>
      </c>
      <c r="E71">
        <v>79.248490000000004</v>
      </c>
      <c r="F71">
        <v>0.34655999999999998</v>
      </c>
      <c r="G71">
        <v>0.70894999999999997</v>
      </c>
    </row>
    <row r="72" spans="1:7" x14ac:dyDescent="0.25">
      <c r="A72">
        <v>993.15</v>
      </c>
      <c r="B72">
        <v>4.3222899999999997</v>
      </c>
      <c r="C72">
        <v>0.75912000000000002</v>
      </c>
      <c r="D72">
        <v>17.65671</v>
      </c>
      <c r="E72">
        <v>78.69435</v>
      </c>
      <c r="F72">
        <v>0.34700999999999999</v>
      </c>
      <c r="G72">
        <v>0.76373000000000002</v>
      </c>
    </row>
    <row r="73" spans="1:7" x14ac:dyDescent="0.25">
      <c r="A73">
        <v>1003.15</v>
      </c>
      <c r="B73">
        <v>4.3208500000000001</v>
      </c>
      <c r="C73">
        <v>0.77049999999999996</v>
      </c>
      <c r="D73">
        <v>17.82244</v>
      </c>
      <c r="E73">
        <v>78.192549999999997</v>
      </c>
      <c r="F73">
        <v>0.34755999999999998</v>
      </c>
      <c r="G73">
        <v>0.76959</v>
      </c>
    </row>
    <row r="74" spans="1:7" x14ac:dyDescent="0.25">
      <c r="A74">
        <v>1013.15</v>
      </c>
      <c r="B74">
        <v>4.3194299999999997</v>
      </c>
      <c r="C74">
        <v>0.78173999999999999</v>
      </c>
      <c r="D74">
        <v>17.98939</v>
      </c>
      <c r="E74">
        <v>77.702219999999997</v>
      </c>
      <c r="F74">
        <v>0.34814000000000001</v>
      </c>
      <c r="G74">
        <v>0.77622000000000002</v>
      </c>
    </row>
    <row r="75" spans="1:7" x14ac:dyDescent="0.25">
      <c r="A75">
        <v>1023.15</v>
      </c>
      <c r="B75">
        <v>4.3180300000000003</v>
      </c>
      <c r="C75">
        <v>0.79281000000000001</v>
      </c>
      <c r="D75">
        <v>18.157630000000001</v>
      </c>
      <c r="E75">
        <v>77.223870000000005</v>
      </c>
      <c r="F75">
        <v>0.34871999999999997</v>
      </c>
      <c r="G75">
        <v>0.78373000000000004</v>
      </c>
    </row>
    <row r="76" spans="1:7" x14ac:dyDescent="0.25">
      <c r="A76">
        <v>1033.1500000000001</v>
      </c>
      <c r="B76">
        <v>4.3166500000000001</v>
      </c>
      <c r="C76">
        <v>0.80367</v>
      </c>
      <c r="D76">
        <v>18.327249999999999</v>
      </c>
      <c r="E76">
        <v>76.758049999999997</v>
      </c>
      <c r="F76">
        <v>0.34932999999999997</v>
      </c>
      <c r="G76">
        <v>0.79222999999999999</v>
      </c>
    </row>
    <row r="77" spans="1:7" x14ac:dyDescent="0.25">
      <c r="A77">
        <v>1043.1500000000001</v>
      </c>
      <c r="B77">
        <v>4.3153100000000002</v>
      </c>
      <c r="C77">
        <v>0.81430000000000002</v>
      </c>
      <c r="D77">
        <v>18.498349999999999</v>
      </c>
      <c r="E77">
        <v>76.305440000000004</v>
      </c>
      <c r="F77">
        <v>0.34994999999999998</v>
      </c>
      <c r="G77">
        <v>0.80184</v>
      </c>
    </row>
    <row r="78" spans="1:7" x14ac:dyDescent="0.25">
      <c r="A78">
        <v>1053.1500000000001</v>
      </c>
      <c r="B78">
        <v>4.3140000000000001</v>
      </c>
      <c r="C78">
        <v>0.82464000000000004</v>
      </c>
      <c r="D78">
        <v>18.67099</v>
      </c>
      <c r="E78">
        <v>75.866770000000002</v>
      </c>
      <c r="F78">
        <v>0.35060000000000002</v>
      </c>
      <c r="G78">
        <v>0.81271000000000004</v>
      </c>
    </row>
    <row r="79" spans="1:7" x14ac:dyDescent="0.25">
      <c r="A79">
        <v>1063.1500000000001</v>
      </c>
      <c r="B79">
        <v>4.3127399999999998</v>
      </c>
      <c r="C79">
        <v>0.83465</v>
      </c>
      <c r="D79">
        <v>18.845269999999999</v>
      </c>
      <c r="E79">
        <v>75.442930000000004</v>
      </c>
      <c r="F79">
        <v>0.35127000000000003</v>
      </c>
      <c r="G79">
        <v>0.82484999999999997</v>
      </c>
    </row>
    <row r="80" spans="1:7" x14ac:dyDescent="0.25">
      <c r="A80">
        <v>1073.1500000000001</v>
      </c>
      <c r="B80">
        <v>4.3115199999999998</v>
      </c>
      <c r="C80">
        <v>0.84426999999999996</v>
      </c>
      <c r="D80">
        <v>19.021239999999999</v>
      </c>
      <c r="E80">
        <v>75.034909999999996</v>
      </c>
      <c r="F80">
        <v>0.35197000000000001</v>
      </c>
      <c r="G80">
        <v>0.83872999999999998</v>
      </c>
    </row>
    <row r="81" spans="1:7" x14ac:dyDescent="0.25">
      <c r="A81">
        <v>1083.1500000000001</v>
      </c>
      <c r="B81">
        <v>4.3103699999999998</v>
      </c>
      <c r="C81">
        <v>0.85345000000000004</v>
      </c>
      <c r="D81">
        <v>19.198979999999999</v>
      </c>
      <c r="E81">
        <v>74.643879999999996</v>
      </c>
      <c r="F81">
        <v>0.35271000000000002</v>
      </c>
      <c r="G81">
        <v>0.85440000000000005</v>
      </c>
    </row>
    <row r="82" spans="1:7" x14ac:dyDescent="0.25">
      <c r="A82">
        <v>1093.1500000000001</v>
      </c>
      <c r="B82">
        <v>4.3092800000000002</v>
      </c>
      <c r="C82">
        <v>0.86209000000000002</v>
      </c>
      <c r="D82">
        <v>19.378520000000002</v>
      </c>
      <c r="E82">
        <v>74.271190000000004</v>
      </c>
      <c r="F82">
        <v>0.35348000000000002</v>
      </c>
      <c r="G82">
        <v>0.87209000000000003</v>
      </c>
    </row>
    <row r="83" spans="1:7" x14ac:dyDescent="0.25">
      <c r="A83">
        <v>1103.1500000000001</v>
      </c>
      <c r="B83">
        <v>4.3082700000000003</v>
      </c>
      <c r="C83">
        <v>0.87012</v>
      </c>
      <c r="D83">
        <v>19.55988</v>
      </c>
      <c r="E83">
        <v>73.918390000000002</v>
      </c>
      <c r="F83">
        <v>0.3543</v>
      </c>
      <c r="G83">
        <v>0.89202000000000004</v>
      </c>
    </row>
    <row r="84" spans="1:7" x14ac:dyDescent="0.25">
      <c r="A84">
        <v>1113.1500000000001</v>
      </c>
      <c r="B84">
        <v>4.3073399999999999</v>
      </c>
      <c r="C84">
        <v>0.87744</v>
      </c>
      <c r="D84">
        <v>19.743020000000001</v>
      </c>
      <c r="E84">
        <v>73.587339999999998</v>
      </c>
      <c r="F84">
        <v>0.35515999999999998</v>
      </c>
      <c r="G84">
        <v>0.91334000000000004</v>
      </c>
    </row>
    <row r="85" spans="1:7" x14ac:dyDescent="0.25">
      <c r="A85">
        <v>1123.1500000000001</v>
      </c>
      <c r="B85">
        <v>4.3065300000000004</v>
      </c>
      <c r="C85">
        <v>0.88392999999999999</v>
      </c>
      <c r="D85">
        <v>19.927890000000001</v>
      </c>
      <c r="E85">
        <v>73.280169999999998</v>
      </c>
      <c r="F85">
        <v>0.35608000000000001</v>
      </c>
      <c r="G85">
        <v>0.93825000000000003</v>
      </c>
    </row>
    <row r="86" spans="1:7" x14ac:dyDescent="0.25">
      <c r="A86">
        <v>1133.1500000000001</v>
      </c>
      <c r="B86">
        <v>4.3058300000000003</v>
      </c>
      <c r="C86">
        <v>0.88946999999999998</v>
      </c>
      <c r="D86">
        <v>20.114350000000002</v>
      </c>
      <c r="E86">
        <v>72.999390000000005</v>
      </c>
      <c r="F86">
        <v>0.35705999999999999</v>
      </c>
      <c r="G86">
        <v>0.96489999999999998</v>
      </c>
    </row>
    <row r="87" spans="1:7" x14ac:dyDescent="0.25">
      <c r="A87">
        <v>1143.1500000000001</v>
      </c>
      <c r="B87">
        <v>4.3052700000000002</v>
      </c>
      <c r="C87">
        <v>0.89390999999999998</v>
      </c>
      <c r="D87">
        <v>20.302209999999999</v>
      </c>
      <c r="E87">
        <v>72.747879999999995</v>
      </c>
      <c r="F87">
        <v>0.35810999999999998</v>
      </c>
      <c r="G87">
        <v>0.99553000000000003</v>
      </c>
    </row>
    <row r="88" spans="1:7" x14ac:dyDescent="0.25">
      <c r="A88">
        <v>1153.1500000000001</v>
      </c>
      <c r="B88">
        <v>4.3048700000000002</v>
      </c>
      <c r="C88">
        <v>0.89710999999999996</v>
      </c>
      <c r="D88">
        <v>20.49117</v>
      </c>
      <c r="E88">
        <v>72.528940000000006</v>
      </c>
      <c r="F88">
        <v>0.35922999999999999</v>
      </c>
      <c r="G88">
        <v>1.0289999999999999</v>
      </c>
    </row>
    <row r="89" spans="1:7" x14ac:dyDescent="0.25">
      <c r="A89">
        <v>1163.1500000000001</v>
      </c>
      <c r="B89">
        <v>4.3046499999999996</v>
      </c>
      <c r="C89">
        <v>0.89888000000000001</v>
      </c>
      <c r="D89">
        <v>20.68084</v>
      </c>
      <c r="E89">
        <v>72.346140000000005</v>
      </c>
      <c r="F89">
        <v>0.36043999999999998</v>
      </c>
      <c r="G89">
        <v>1.0648</v>
      </c>
    </row>
    <row r="90" spans="1:7" x14ac:dyDescent="0.25">
      <c r="A90">
        <v>1173.1500000000001</v>
      </c>
      <c r="B90">
        <v>4.3046199999999999</v>
      </c>
      <c r="C90">
        <v>0.89907999999999999</v>
      </c>
      <c r="D90">
        <v>20.870709999999999</v>
      </c>
      <c r="E90">
        <v>72.203379999999996</v>
      </c>
      <c r="F90">
        <v>0.36174000000000001</v>
      </c>
      <c r="G90">
        <v>1.1003799999999999</v>
      </c>
    </row>
    <row r="91" spans="1:7" x14ac:dyDescent="0.25">
      <c r="A91">
        <v>1183.1500000000001</v>
      </c>
      <c r="B91">
        <v>4.3048200000000003</v>
      </c>
      <c r="C91">
        <v>0.89754</v>
      </c>
      <c r="D91">
        <v>21.06016</v>
      </c>
      <c r="E91">
        <v>72.104209999999995</v>
      </c>
      <c r="F91">
        <v>0.36314999999999997</v>
      </c>
      <c r="G91">
        <v>1.1383700000000001</v>
      </c>
    </row>
    <row r="92" spans="1:7" x14ac:dyDescent="0.25">
      <c r="A92">
        <v>1193.1500000000001</v>
      </c>
      <c r="B92">
        <v>4.3052400000000004</v>
      </c>
      <c r="C92">
        <v>0.89415</v>
      </c>
      <c r="D92">
        <v>21.248470000000001</v>
      </c>
      <c r="E92">
        <v>72.051379999999995</v>
      </c>
      <c r="F92">
        <v>0.36465999999999998</v>
      </c>
      <c r="G92">
        <v>1.17506</v>
      </c>
    </row>
    <row r="93" spans="1:7" x14ac:dyDescent="0.25">
      <c r="A93">
        <v>1203.1500000000001</v>
      </c>
      <c r="B93">
        <v>4.3059000000000003</v>
      </c>
      <c r="C93">
        <v>0.88888</v>
      </c>
      <c r="D93">
        <v>21.43487</v>
      </c>
      <c r="E93">
        <v>72.045670000000001</v>
      </c>
      <c r="F93">
        <v>0.36626999999999998</v>
      </c>
      <c r="G93">
        <v>1.20566</v>
      </c>
    </row>
    <row r="94" spans="1:7" x14ac:dyDescent="0.25">
      <c r="A94">
        <v>1213.1500000000001</v>
      </c>
      <c r="B94">
        <v>4.3068</v>
      </c>
      <c r="C94">
        <v>0.88178999999999996</v>
      </c>
      <c r="D94">
        <v>21.61861</v>
      </c>
      <c r="E94">
        <v>72.084299999999999</v>
      </c>
      <c r="F94">
        <v>0.36797999999999997</v>
      </c>
      <c r="G94">
        <v>1.2302</v>
      </c>
    </row>
    <row r="95" spans="1:7" x14ac:dyDescent="0.25">
      <c r="A95">
        <v>1223.1500000000001</v>
      </c>
      <c r="B95">
        <v>4.3078900000000004</v>
      </c>
      <c r="C95">
        <v>0.87309999999999999</v>
      </c>
      <c r="D95">
        <v>21.799109999999999</v>
      </c>
      <c r="E95">
        <v>72.158940000000001</v>
      </c>
      <c r="F95">
        <v>0.36979000000000001</v>
      </c>
      <c r="G95">
        <v>1.2414099999999999</v>
      </c>
    </row>
    <row r="96" spans="1:7" x14ac:dyDescent="0.25">
      <c r="A96">
        <v>1233.1500000000001</v>
      </c>
      <c r="B96">
        <v>4.3091299999999997</v>
      </c>
      <c r="C96">
        <v>0.86324000000000001</v>
      </c>
      <c r="D96">
        <v>21.976009999999999</v>
      </c>
      <c r="E96">
        <v>72.254000000000005</v>
      </c>
      <c r="F96">
        <v>0.37165999999999999</v>
      </c>
      <c r="G96">
        <v>1.2383599999999999</v>
      </c>
    </row>
    <row r="97" spans="1:7" x14ac:dyDescent="0.25">
      <c r="A97">
        <v>1243.1500000000001</v>
      </c>
      <c r="B97">
        <v>4.3104500000000003</v>
      </c>
      <c r="C97">
        <v>0.85282000000000002</v>
      </c>
      <c r="D97">
        <v>22.149180000000001</v>
      </c>
      <c r="E97">
        <v>72.346109999999996</v>
      </c>
      <c r="F97">
        <v>0.37356</v>
      </c>
      <c r="G97">
        <v>1.21712</v>
      </c>
    </row>
    <row r="98" spans="1:7" x14ac:dyDescent="0.25">
      <c r="A98">
        <v>1253.1500000000001</v>
      </c>
      <c r="B98">
        <v>4.3117299999999998</v>
      </c>
      <c r="C98">
        <v>0.84263999999999994</v>
      </c>
      <c r="D98">
        <v>22.318619999999999</v>
      </c>
      <c r="E98">
        <v>72.405900000000003</v>
      </c>
      <c r="F98">
        <v>0.37546000000000002</v>
      </c>
      <c r="G98">
        <v>1.17564</v>
      </c>
    </row>
    <row r="99" spans="1:7" x14ac:dyDescent="0.25">
      <c r="A99">
        <v>1263.1500000000001</v>
      </c>
      <c r="B99">
        <v>4.3128700000000002</v>
      </c>
      <c r="C99">
        <v>0.83362999999999998</v>
      </c>
      <c r="D99">
        <v>22.484190000000002</v>
      </c>
      <c r="E99">
        <v>72.401830000000004</v>
      </c>
      <c r="F99">
        <v>0.37730999999999998</v>
      </c>
      <c r="G99">
        <v>1.1172599999999999</v>
      </c>
    </row>
    <row r="100" spans="1:7" x14ac:dyDescent="0.25">
      <c r="A100">
        <v>1273.1500000000001</v>
      </c>
      <c r="B100">
        <v>4.31372</v>
      </c>
      <c r="C100">
        <v>0.82686000000000004</v>
      </c>
      <c r="D100">
        <v>22.645440000000001</v>
      </c>
      <c r="E100">
        <v>72.304839999999999</v>
      </c>
      <c r="F100">
        <v>0.37902999999999998</v>
      </c>
      <c r="G100">
        <v>1.04234</v>
      </c>
    </row>
    <row r="101" spans="1:7" x14ac:dyDescent="0.25">
      <c r="A101">
        <v>1275.06</v>
      </c>
      <c r="B101">
        <v>4.3138399999999999</v>
      </c>
      <c r="C101">
        <v>0.82591000000000003</v>
      </c>
      <c r="D101">
        <v>22.67576</v>
      </c>
      <c r="E101">
        <v>72.273679999999999</v>
      </c>
      <c r="F101">
        <v>0.37934000000000001</v>
      </c>
      <c r="G101" t="s">
        <v>7</v>
      </c>
    </row>
    <row r="102" spans="1:7" x14ac:dyDescent="0.25">
      <c r="A102">
        <v>1283.1500000000001</v>
      </c>
      <c r="B102">
        <v>4.3123899999999997</v>
      </c>
      <c r="C102">
        <v>0.83740999999999999</v>
      </c>
      <c r="D102">
        <v>22.792120000000001</v>
      </c>
      <c r="E102">
        <v>71.959770000000006</v>
      </c>
      <c r="F102">
        <v>0.37972</v>
      </c>
      <c r="G102">
        <v>0.66535</v>
      </c>
    </row>
    <row r="103" spans="1:7" x14ac:dyDescent="0.25">
      <c r="A103">
        <v>1293.1500000000001</v>
      </c>
      <c r="B103">
        <v>4.3105900000000004</v>
      </c>
      <c r="C103">
        <v>0.85168999999999995</v>
      </c>
      <c r="D103">
        <v>22.93601</v>
      </c>
      <c r="E103">
        <v>71.571550000000002</v>
      </c>
      <c r="F103">
        <v>0.38018999999999997</v>
      </c>
      <c r="G103">
        <v>0.66669999999999996</v>
      </c>
    </row>
    <row r="104" spans="1:7" x14ac:dyDescent="0.25">
      <c r="A104">
        <v>1303.1500000000001</v>
      </c>
      <c r="B104">
        <v>4.3087799999999996</v>
      </c>
      <c r="C104">
        <v>0.86604999999999999</v>
      </c>
      <c r="D104">
        <v>23.07985</v>
      </c>
      <c r="E104">
        <v>71.183359999999993</v>
      </c>
      <c r="F104">
        <v>0.38066</v>
      </c>
      <c r="G104">
        <v>0.66808999999999996</v>
      </c>
    </row>
    <row r="105" spans="1:7" x14ac:dyDescent="0.25">
      <c r="A105">
        <v>1313.15</v>
      </c>
      <c r="B105">
        <v>4.3069600000000001</v>
      </c>
      <c r="C105">
        <v>0.88048000000000004</v>
      </c>
      <c r="D105">
        <v>23.223659999999999</v>
      </c>
      <c r="E105">
        <v>70.795199999999994</v>
      </c>
      <c r="F105">
        <v>0.38113000000000002</v>
      </c>
      <c r="G105">
        <v>0.66952</v>
      </c>
    </row>
    <row r="106" spans="1:7" x14ac:dyDescent="0.25">
      <c r="A106">
        <v>1323.15</v>
      </c>
      <c r="B106">
        <v>4.3051399999999997</v>
      </c>
      <c r="C106">
        <v>0.89498</v>
      </c>
      <c r="D106">
        <v>23.367439999999998</v>
      </c>
      <c r="E106">
        <v>70.407070000000004</v>
      </c>
      <c r="F106">
        <v>0.38159999999999999</v>
      </c>
      <c r="G106">
        <v>0.67098000000000002</v>
      </c>
    </row>
    <row r="107" spans="1:7" x14ac:dyDescent="0.25">
      <c r="A107">
        <v>1333.15</v>
      </c>
      <c r="B107">
        <v>4.3033099999999997</v>
      </c>
      <c r="C107">
        <v>0.90954999999999997</v>
      </c>
      <c r="D107">
        <v>23.511189999999999</v>
      </c>
      <c r="E107">
        <v>70.018979999999999</v>
      </c>
      <c r="F107">
        <v>0.38207999999999998</v>
      </c>
      <c r="G107">
        <v>0.67247999999999997</v>
      </c>
    </row>
    <row r="108" spans="1:7" x14ac:dyDescent="0.25">
      <c r="A108">
        <v>1343.15</v>
      </c>
      <c r="B108">
        <v>4.3014700000000001</v>
      </c>
      <c r="C108">
        <v>0.92418999999999996</v>
      </c>
      <c r="D108">
        <v>23.654910000000001</v>
      </c>
      <c r="E108">
        <v>69.63091</v>
      </c>
      <c r="F108">
        <v>0.38255</v>
      </c>
      <c r="G108">
        <v>0.67401</v>
      </c>
    </row>
    <row r="109" spans="1:7" x14ac:dyDescent="0.25">
      <c r="A109">
        <v>1353.15</v>
      </c>
      <c r="B109">
        <v>4.29962</v>
      </c>
      <c r="C109">
        <v>0.93889999999999996</v>
      </c>
      <c r="D109">
        <v>23.79861</v>
      </c>
      <c r="E109">
        <v>69.242890000000003</v>
      </c>
      <c r="F109">
        <v>0.38302999999999998</v>
      </c>
      <c r="G109">
        <v>0.67557999999999996</v>
      </c>
    </row>
    <row r="110" spans="1:7" x14ac:dyDescent="0.25">
      <c r="A110">
        <v>1363.15</v>
      </c>
      <c r="B110">
        <v>4.2977699999999999</v>
      </c>
      <c r="C110">
        <v>0.95367999999999997</v>
      </c>
      <c r="D110">
        <v>23.94228</v>
      </c>
      <c r="E110">
        <v>68.854900000000001</v>
      </c>
      <c r="F110">
        <v>0.38350000000000001</v>
      </c>
      <c r="G110">
        <v>0.67718</v>
      </c>
    </row>
    <row r="111" spans="1:7" x14ac:dyDescent="0.25">
      <c r="A111">
        <v>1373.15</v>
      </c>
      <c r="B111">
        <v>4.2959100000000001</v>
      </c>
      <c r="C111">
        <v>0.96853999999999996</v>
      </c>
      <c r="D111">
        <v>24.085930000000001</v>
      </c>
      <c r="E111">
        <v>68.466949999999997</v>
      </c>
      <c r="F111">
        <v>0.38397999999999999</v>
      </c>
      <c r="G111">
        <v>0.67881000000000002</v>
      </c>
    </row>
    <row r="112" spans="1:7" x14ac:dyDescent="0.25">
      <c r="A112">
        <v>1383.15</v>
      </c>
      <c r="B112">
        <v>4.2940399999999999</v>
      </c>
      <c r="C112">
        <v>0.98346999999999996</v>
      </c>
      <c r="D112">
        <v>24.229559999999999</v>
      </c>
      <c r="E112">
        <v>68.079030000000003</v>
      </c>
      <c r="F112">
        <v>0.38446000000000002</v>
      </c>
      <c r="G112">
        <v>0.68047000000000002</v>
      </c>
    </row>
    <row r="113" spans="1:7" x14ac:dyDescent="0.25">
      <c r="A113">
        <v>1393.15</v>
      </c>
      <c r="B113">
        <v>4.29216</v>
      </c>
      <c r="C113">
        <v>0.99846000000000001</v>
      </c>
      <c r="D113">
        <v>24.373169999999998</v>
      </c>
      <c r="E113">
        <v>67.691149999999993</v>
      </c>
      <c r="F113">
        <v>0.38494</v>
      </c>
      <c r="G113">
        <v>0.68217000000000005</v>
      </c>
    </row>
    <row r="114" spans="1:7" x14ac:dyDescent="0.25">
      <c r="A114">
        <v>1403.15</v>
      </c>
      <c r="B114">
        <v>4.2902800000000001</v>
      </c>
      <c r="C114">
        <v>1.01353</v>
      </c>
      <c r="D114">
        <v>24.516770000000001</v>
      </c>
      <c r="E114">
        <v>67.303309999999996</v>
      </c>
      <c r="F114">
        <v>0.38540999999999997</v>
      </c>
      <c r="G114">
        <v>0.68389999999999995</v>
      </c>
    </row>
    <row r="115" spans="1:7" x14ac:dyDescent="0.25">
      <c r="A115">
        <v>1413.15</v>
      </c>
      <c r="B115">
        <v>4.2883899999999997</v>
      </c>
      <c r="C115">
        <v>1.02868</v>
      </c>
      <c r="D115">
        <v>24.660350000000001</v>
      </c>
      <c r="E115">
        <v>66.915499999999994</v>
      </c>
      <c r="F115">
        <v>0.38590000000000002</v>
      </c>
      <c r="G115">
        <v>0.68566000000000005</v>
      </c>
    </row>
    <row r="116" spans="1:7" x14ac:dyDescent="0.25">
      <c r="A116">
        <v>1423.15</v>
      </c>
      <c r="B116">
        <v>4.2864899999999997</v>
      </c>
      <c r="C116">
        <v>1.04389</v>
      </c>
      <c r="D116">
        <v>24.803930000000001</v>
      </c>
      <c r="E116">
        <v>66.527739999999994</v>
      </c>
      <c r="F116">
        <v>0.38638</v>
      </c>
      <c r="G116">
        <v>0.68745000000000001</v>
      </c>
    </row>
    <row r="117" spans="1:7" x14ac:dyDescent="0.25">
      <c r="A117">
        <v>1433.15</v>
      </c>
      <c r="B117">
        <v>4.2845800000000001</v>
      </c>
      <c r="C117">
        <v>1.0591699999999999</v>
      </c>
      <c r="D117">
        <v>24.947489999999998</v>
      </c>
      <c r="E117">
        <v>66.140010000000004</v>
      </c>
      <c r="F117">
        <v>0.38685999999999998</v>
      </c>
      <c r="G117">
        <v>0.68928</v>
      </c>
    </row>
    <row r="118" spans="1:7" x14ac:dyDescent="0.25">
      <c r="A118">
        <v>1443.15</v>
      </c>
      <c r="B118">
        <v>4.2826700000000004</v>
      </c>
      <c r="C118">
        <v>1.07453</v>
      </c>
      <c r="D118">
        <v>25.09104</v>
      </c>
      <c r="E118">
        <v>65.752330000000001</v>
      </c>
      <c r="F118">
        <v>0.38734000000000002</v>
      </c>
      <c r="G118">
        <v>0.69113000000000002</v>
      </c>
    </row>
    <row r="119" spans="1:7" x14ac:dyDescent="0.25">
      <c r="A119">
        <v>1453.15</v>
      </c>
      <c r="B119">
        <v>4.2807500000000003</v>
      </c>
      <c r="C119">
        <v>1.08996</v>
      </c>
      <c r="D119">
        <v>25.234590000000001</v>
      </c>
      <c r="E119">
        <v>65.364680000000007</v>
      </c>
      <c r="F119">
        <v>0.38783000000000001</v>
      </c>
      <c r="G119">
        <v>0.69301000000000001</v>
      </c>
    </row>
    <row r="120" spans="1:7" x14ac:dyDescent="0.25">
      <c r="A120">
        <v>1463.15</v>
      </c>
      <c r="B120">
        <v>4.2788300000000001</v>
      </c>
      <c r="C120">
        <v>1.1054600000000001</v>
      </c>
      <c r="D120">
        <v>25.378129999999999</v>
      </c>
      <c r="E120">
        <v>64.977080000000001</v>
      </c>
      <c r="F120">
        <v>0.38830999999999999</v>
      </c>
      <c r="G120">
        <v>0.69493000000000005</v>
      </c>
    </row>
    <row r="121" spans="1:7" x14ac:dyDescent="0.25">
      <c r="A121">
        <v>1473.15</v>
      </c>
      <c r="B121">
        <v>4.2768899999999999</v>
      </c>
      <c r="C121">
        <v>1.12103</v>
      </c>
      <c r="D121">
        <v>25.521660000000001</v>
      </c>
      <c r="E121">
        <v>64.589519999999993</v>
      </c>
      <c r="F121">
        <v>0.38879999999999998</v>
      </c>
      <c r="G121">
        <v>0.69686999999999999</v>
      </c>
    </row>
    <row r="122" spans="1:7" x14ac:dyDescent="0.25">
      <c r="A122">
        <v>1483.15</v>
      </c>
      <c r="B122">
        <v>4.2749499999999996</v>
      </c>
      <c r="C122">
        <v>1.1366700000000001</v>
      </c>
      <c r="D122">
        <v>25.665199999999999</v>
      </c>
      <c r="E122">
        <v>64.202010000000001</v>
      </c>
      <c r="F122">
        <v>0.38928000000000001</v>
      </c>
      <c r="G122">
        <v>0.69884000000000002</v>
      </c>
    </row>
    <row r="123" spans="1:7" x14ac:dyDescent="0.25">
      <c r="A123">
        <v>1493.15</v>
      </c>
      <c r="B123">
        <v>4.2729999999999997</v>
      </c>
      <c r="C123">
        <v>1.15239</v>
      </c>
      <c r="D123">
        <v>25.808730000000001</v>
      </c>
      <c r="E123">
        <v>63.814529999999998</v>
      </c>
      <c r="F123">
        <v>0.38977000000000001</v>
      </c>
      <c r="G123">
        <v>0.70084000000000002</v>
      </c>
    </row>
    <row r="124" spans="1:7" x14ac:dyDescent="0.25">
      <c r="A124">
        <v>1503.15</v>
      </c>
      <c r="B124">
        <v>4.2710499999999998</v>
      </c>
      <c r="C124">
        <v>1.1681699999999999</v>
      </c>
      <c r="D124">
        <v>25.952259999999999</v>
      </c>
      <c r="E124">
        <v>63.427100000000003</v>
      </c>
      <c r="F124">
        <v>0.39026</v>
      </c>
      <c r="G124">
        <v>0.70286999999999999</v>
      </c>
    </row>
    <row r="125" spans="1:7" x14ac:dyDescent="0.25">
      <c r="A125">
        <v>1513.15</v>
      </c>
      <c r="B125">
        <v>4.2690900000000003</v>
      </c>
      <c r="C125">
        <v>1.1840299999999999</v>
      </c>
      <c r="D125">
        <v>26.095800000000001</v>
      </c>
      <c r="E125">
        <v>63.039720000000003</v>
      </c>
      <c r="F125">
        <v>0.39074999999999999</v>
      </c>
      <c r="G125">
        <v>0.70492999999999995</v>
      </c>
    </row>
    <row r="126" spans="1:7" x14ac:dyDescent="0.25">
      <c r="A126">
        <v>1523.15</v>
      </c>
      <c r="B126">
        <v>4.2671200000000002</v>
      </c>
      <c r="C126">
        <v>1.1999599999999999</v>
      </c>
      <c r="D126">
        <v>26.239329999999999</v>
      </c>
      <c r="E126">
        <v>62.652380000000001</v>
      </c>
      <c r="F126">
        <v>0.39123999999999998</v>
      </c>
      <c r="G126">
        <v>0.70701000000000003</v>
      </c>
    </row>
    <row r="127" spans="1:7" x14ac:dyDescent="0.25">
      <c r="A127">
        <v>1533.15</v>
      </c>
      <c r="B127">
        <v>4.2651399999999997</v>
      </c>
      <c r="C127">
        <v>1.21597</v>
      </c>
      <c r="D127">
        <v>26.38287</v>
      </c>
      <c r="E127">
        <v>62.265090000000001</v>
      </c>
      <c r="F127">
        <v>0.39173000000000002</v>
      </c>
      <c r="G127">
        <v>0.70913000000000004</v>
      </c>
    </row>
    <row r="128" spans="1:7" x14ac:dyDescent="0.25">
      <c r="A128">
        <v>1543.15</v>
      </c>
      <c r="B128">
        <v>4.2631600000000001</v>
      </c>
      <c r="C128">
        <v>1.23204</v>
      </c>
      <c r="D128">
        <v>26.526420000000002</v>
      </c>
      <c r="E128">
        <v>61.877850000000002</v>
      </c>
      <c r="F128">
        <v>0.39222000000000001</v>
      </c>
      <c r="G128">
        <v>0.71126999999999996</v>
      </c>
    </row>
    <row r="129" spans="1:7" x14ac:dyDescent="0.25">
      <c r="A129">
        <v>1553.15</v>
      </c>
      <c r="B129">
        <v>4.2611699999999999</v>
      </c>
      <c r="C129">
        <v>1.2481899999999999</v>
      </c>
      <c r="D129">
        <v>26.669979999999999</v>
      </c>
      <c r="E129">
        <v>61.490650000000002</v>
      </c>
      <c r="F129">
        <v>0.39271</v>
      </c>
      <c r="G129">
        <v>0.71343999999999996</v>
      </c>
    </row>
    <row r="130" spans="1:7" x14ac:dyDescent="0.25">
      <c r="A130">
        <v>1563.15</v>
      </c>
      <c r="B130">
        <v>4.2591700000000001</v>
      </c>
      <c r="C130">
        <v>1.26441</v>
      </c>
      <c r="D130">
        <v>26.81354</v>
      </c>
      <c r="E130">
        <v>61.103499999999997</v>
      </c>
      <c r="F130">
        <v>0.39321</v>
      </c>
      <c r="G130">
        <v>0.71564000000000005</v>
      </c>
    </row>
    <row r="131" spans="1:7" x14ac:dyDescent="0.25">
      <c r="A131">
        <v>1573.15</v>
      </c>
      <c r="B131">
        <v>4.2571599999999998</v>
      </c>
      <c r="C131">
        <v>1.2806999999999999</v>
      </c>
      <c r="D131">
        <v>26.95711</v>
      </c>
      <c r="E131">
        <v>60.7164</v>
      </c>
      <c r="F131">
        <v>0.39369999999999999</v>
      </c>
      <c r="G131">
        <v>0.71786000000000005</v>
      </c>
    </row>
    <row r="132" spans="1:7" x14ac:dyDescent="0.25">
      <c r="A132">
        <v>1583.15</v>
      </c>
      <c r="B132">
        <v>4.2551500000000004</v>
      </c>
      <c r="C132">
        <v>1.2970600000000001</v>
      </c>
      <c r="D132">
        <v>27.10069</v>
      </c>
      <c r="E132">
        <v>60.329349999999998</v>
      </c>
      <c r="F132">
        <v>0.39419999999999999</v>
      </c>
      <c r="G132">
        <v>0.72011000000000003</v>
      </c>
    </row>
    <row r="133" spans="1:7" x14ac:dyDescent="0.25">
      <c r="A133">
        <v>1593.15</v>
      </c>
      <c r="B133">
        <v>4.2531299999999996</v>
      </c>
      <c r="C133">
        <v>1.3134999999999999</v>
      </c>
      <c r="D133">
        <v>27.24428</v>
      </c>
      <c r="E133">
        <v>59.942340000000002</v>
      </c>
      <c r="F133">
        <v>0.3947</v>
      </c>
      <c r="G133">
        <v>0.72238999999999998</v>
      </c>
    </row>
    <row r="134" spans="1:7" x14ac:dyDescent="0.25">
      <c r="A134">
        <v>1603.15</v>
      </c>
      <c r="B134">
        <v>4.2511099999999997</v>
      </c>
      <c r="C134">
        <v>1.3300099999999999</v>
      </c>
      <c r="D134">
        <v>27.387889999999999</v>
      </c>
      <c r="E134">
        <v>59.555390000000003</v>
      </c>
      <c r="F134">
        <v>0.39518999999999999</v>
      </c>
      <c r="G134">
        <v>0.72468999999999995</v>
      </c>
    </row>
    <row r="135" spans="1:7" x14ac:dyDescent="0.25">
      <c r="A135">
        <v>1613.15</v>
      </c>
      <c r="B135">
        <v>4.2490800000000002</v>
      </c>
      <c r="C135">
        <v>1.34659</v>
      </c>
      <c r="D135">
        <v>27.531500000000001</v>
      </c>
      <c r="E135">
        <v>59.168489999999998</v>
      </c>
      <c r="F135">
        <v>0.39568999999999999</v>
      </c>
      <c r="G135">
        <v>0.72702</v>
      </c>
    </row>
    <row r="136" spans="1:7" x14ac:dyDescent="0.25">
      <c r="A136">
        <v>1623.15</v>
      </c>
      <c r="B136">
        <v>4.2470400000000001</v>
      </c>
      <c r="C136">
        <v>1.36324</v>
      </c>
      <c r="D136">
        <v>27.675139999999999</v>
      </c>
      <c r="E136">
        <v>58.781649999999999</v>
      </c>
      <c r="F136">
        <v>0.39618999999999999</v>
      </c>
      <c r="G136">
        <v>0.72938000000000003</v>
      </c>
    </row>
    <row r="137" spans="1:7" x14ac:dyDescent="0.25">
      <c r="A137">
        <v>1633.15</v>
      </c>
      <c r="B137">
        <v>4.2449899999999996</v>
      </c>
      <c r="C137">
        <v>1.3799699999999999</v>
      </c>
      <c r="D137">
        <v>27.81878</v>
      </c>
      <c r="E137">
        <v>58.394849999999998</v>
      </c>
      <c r="F137">
        <v>0.39668999999999999</v>
      </c>
      <c r="G137">
        <v>0.73175999999999997</v>
      </c>
    </row>
    <row r="138" spans="1:7" x14ac:dyDescent="0.25">
      <c r="A138">
        <v>1643.15</v>
      </c>
      <c r="B138">
        <v>4.2429399999999999</v>
      </c>
      <c r="C138">
        <v>1.3967700000000001</v>
      </c>
      <c r="D138">
        <v>27.96245</v>
      </c>
      <c r="E138">
        <v>58.008110000000002</v>
      </c>
      <c r="F138">
        <v>0.39718999999999999</v>
      </c>
      <c r="G138">
        <v>0.73416999999999999</v>
      </c>
    </row>
    <row r="139" spans="1:7" x14ac:dyDescent="0.25">
      <c r="A139">
        <v>1653.15</v>
      </c>
      <c r="B139">
        <v>4.2408799999999998</v>
      </c>
      <c r="C139">
        <v>1.41364</v>
      </c>
      <c r="D139">
        <v>28.10613</v>
      </c>
      <c r="E139">
        <v>57.621420000000001</v>
      </c>
      <c r="F139">
        <v>0.39768999999999999</v>
      </c>
      <c r="G139">
        <v>0.73660000000000003</v>
      </c>
    </row>
    <row r="140" spans="1:7" x14ac:dyDescent="0.25">
      <c r="A140">
        <v>1663.15</v>
      </c>
      <c r="B140">
        <v>4.23881</v>
      </c>
      <c r="C140">
        <v>1.43058</v>
      </c>
      <c r="D140">
        <v>28.249829999999999</v>
      </c>
      <c r="E140">
        <v>57.234789999999997</v>
      </c>
      <c r="F140">
        <v>0.3982</v>
      </c>
      <c r="G140">
        <v>0.73906000000000005</v>
      </c>
    </row>
    <row r="141" spans="1:7" x14ac:dyDescent="0.25">
      <c r="A141">
        <v>1673.15</v>
      </c>
      <c r="B141">
        <v>4.2367400000000002</v>
      </c>
      <c r="C141">
        <v>1.4476</v>
      </c>
      <c r="D141">
        <v>28.393550000000001</v>
      </c>
      <c r="E141">
        <v>56.848210000000002</v>
      </c>
      <c r="F141">
        <v>0.3987</v>
      </c>
      <c r="G141">
        <v>0.74153999999999998</v>
      </c>
    </row>
    <row r="142" spans="1:7" x14ac:dyDescent="0.25">
      <c r="A142">
        <v>1683.15</v>
      </c>
      <c r="B142">
        <v>4.2346500000000002</v>
      </c>
      <c r="C142">
        <v>1.46468</v>
      </c>
      <c r="D142">
        <v>28.537289999999999</v>
      </c>
      <c r="E142">
        <v>56.461689999999997</v>
      </c>
      <c r="F142">
        <v>0.3992</v>
      </c>
      <c r="G142">
        <v>0.74404999999999999</v>
      </c>
    </row>
    <row r="143" spans="1:7" x14ac:dyDescent="0.25">
      <c r="A143">
        <v>1693.15</v>
      </c>
      <c r="B143">
        <v>4.2325699999999999</v>
      </c>
      <c r="C143">
        <v>1.4818499999999999</v>
      </c>
      <c r="D143">
        <v>28.681049999999999</v>
      </c>
      <c r="E143">
        <v>56.075220000000002</v>
      </c>
      <c r="F143">
        <v>0.39971000000000001</v>
      </c>
      <c r="G143">
        <v>0.74658999999999998</v>
      </c>
    </row>
    <row r="144" spans="1:7" x14ac:dyDescent="0.25">
      <c r="A144">
        <v>1703.15</v>
      </c>
      <c r="B144">
        <v>4.2304700000000004</v>
      </c>
      <c r="C144">
        <v>1.49908</v>
      </c>
      <c r="D144">
        <v>28.824839999999998</v>
      </c>
      <c r="E144">
        <v>55.688809999999997</v>
      </c>
      <c r="F144">
        <v>0.40021000000000001</v>
      </c>
      <c r="G144">
        <v>0.74914999999999998</v>
      </c>
    </row>
    <row r="145" spans="1:7" x14ac:dyDescent="0.25">
      <c r="A145">
        <v>1713.15</v>
      </c>
      <c r="B145">
        <v>4.22837</v>
      </c>
      <c r="C145">
        <v>1.5163899999999999</v>
      </c>
      <c r="D145">
        <v>28.968640000000001</v>
      </c>
      <c r="E145">
        <v>55.302460000000004</v>
      </c>
      <c r="F145">
        <v>0.40072000000000002</v>
      </c>
      <c r="G145">
        <v>0.75173000000000001</v>
      </c>
    </row>
    <row r="146" spans="1:7" x14ac:dyDescent="0.25">
      <c r="A146">
        <v>1723.15</v>
      </c>
      <c r="B146">
        <v>4.2262599999999999</v>
      </c>
      <c r="C146">
        <v>1.5337700000000001</v>
      </c>
      <c r="D146">
        <v>29.112469999999998</v>
      </c>
      <c r="E146">
        <v>54.916170000000001</v>
      </c>
      <c r="F146">
        <v>0.40122999999999998</v>
      </c>
      <c r="G146">
        <v>0.75434000000000001</v>
      </c>
    </row>
    <row r="147" spans="1:7" x14ac:dyDescent="0.25">
      <c r="A147">
        <v>1733.15</v>
      </c>
      <c r="B147">
        <v>4.2241499999999998</v>
      </c>
      <c r="C147">
        <v>1.55122</v>
      </c>
      <c r="D147">
        <v>29.256319999999999</v>
      </c>
      <c r="E147">
        <v>54.529940000000003</v>
      </c>
      <c r="F147">
        <v>0.40173999999999999</v>
      </c>
      <c r="G147">
        <v>0.75697000000000003</v>
      </c>
    </row>
    <row r="148" spans="1:7" x14ac:dyDescent="0.25">
      <c r="A148">
        <v>1743.15</v>
      </c>
      <c r="B148">
        <v>4.2220300000000002</v>
      </c>
      <c r="C148">
        <v>1.5687500000000001</v>
      </c>
      <c r="D148">
        <v>29.400200000000002</v>
      </c>
      <c r="E148">
        <v>54.14376</v>
      </c>
      <c r="F148">
        <v>0.40225</v>
      </c>
      <c r="G148">
        <v>0.75963000000000003</v>
      </c>
    </row>
    <row r="149" spans="1:7" x14ac:dyDescent="0.25">
      <c r="A149">
        <v>1753.15</v>
      </c>
      <c r="B149">
        <v>4.2199</v>
      </c>
      <c r="C149">
        <v>1.5863400000000001</v>
      </c>
      <c r="D149">
        <v>29.54411</v>
      </c>
      <c r="E149">
        <v>53.757649999999998</v>
      </c>
      <c r="F149">
        <v>0.40276000000000001</v>
      </c>
      <c r="G149">
        <v>0.76231000000000004</v>
      </c>
    </row>
    <row r="150" spans="1:7" x14ac:dyDescent="0.25">
      <c r="A150">
        <v>1763.15</v>
      </c>
      <c r="B150">
        <v>4.2177699999999998</v>
      </c>
      <c r="C150">
        <v>1.60402</v>
      </c>
      <c r="D150">
        <v>29.688040000000001</v>
      </c>
      <c r="E150">
        <v>53.371600000000001</v>
      </c>
      <c r="F150">
        <v>0.40327000000000002</v>
      </c>
      <c r="G150">
        <v>0.76502000000000003</v>
      </c>
    </row>
    <row r="151" spans="1:7" x14ac:dyDescent="0.25">
      <c r="A151">
        <v>1773.15</v>
      </c>
      <c r="B151">
        <v>4.21563</v>
      </c>
      <c r="C151">
        <v>1.6217600000000001</v>
      </c>
      <c r="D151">
        <v>29.832000000000001</v>
      </c>
      <c r="E151">
        <v>52.985610000000001</v>
      </c>
      <c r="F151">
        <v>0.40377999999999997</v>
      </c>
      <c r="G151">
        <v>0.76775000000000004</v>
      </c>
    </row>
    <row r="152" spans="1:7" x14ac:dyDescent="0.25">
      <c r="A152">
        <v>1783.15</v>
      </c>
      <c r="B152">
        <v>4.2134799999999997</v>
      </c>
      <c r="C152">
        <v>1.63958</v>
      </c>
      <c r="D152">
        <v>29.97598</v>
      </c>
      <c r="E152">
        <v>52.599679999999999</v>
      </c>
      <c r="F152">
        <v>0.40429999999999999</v>
      </c>
      <c r="G152">
        <v>0.77049999999999996</v>
      </c>
    </row>
    <row r="153" spans="1:7" x14ac:dyDescent="0.25">
      <c r="A153">
        <v>1793.15</v>
      </c>
      <c r="B153">
        <v>4.2113199999999997</v>
      </c>
      <c r="C153">
        <v>1.65747</v>
      </c>
      <c r="D153">
        <v>30.12</v>
      </c>
      <c r="E153">
        <v>52.213810000000002</v>
      </c>
      <c r="F153">
        <v>0.40481</v>
      </c>
      <c r="G153">
        <v>0.77327999999999997</v>
      </c>
    </row>
    <row r="154" spans="1:7" x14ac:dyDescent="0.25">
      <c r="A154">
        <v>1803.15</v>
      </c>
      <c r="B154">
        <v>4.2091599999999998</v>
      </c>
      <c r="C154">
        <v>1.67543</v>
      </c>
      <c r="D154">
        <v>30.264040000000001</v>
      </c>
      <c r="E154">
        <v>51.828009999999999</v>
      </c>
      <c r="F154">
        <v>0.40533000000000002</v>
      </c>
      <c r="G154">
        <v>0.77608999999999995</v>
      </c>
    </row>
    <row r="155" spans="1:7" x14ac:dyDescent="0.25">
      <c r="A155">
        <v>1813.15</v>
      </c>
      <c r="B155">
        <v>4.2069999999999999</v>
      </c>
      <c r="C155">
        <v>1.69347</v>
      </c>
      <c r="D155">
        <v>30.40812</v>
      </c>
      <c r="E155">
        <v>51.442270000000001</v>
      </c>
      <c r="F155">
        <v>0.40583999999999998</v>
      </c>
      <c r="G155">
        <v>0.77890999999999999</v>
      </c>
    </row>
    <row r="156" spans="1:7" x14ac:dyDescent="0.25">
      <c r="A156">
        <v>1823.15</v>
      </c>
      <c r="B156">
        <v>4.2048199999999998</v>
      </c>
      <c r="C156">
        <v>1.7115800000000001</v>
      </c>
      <c r="D156">
        <v>30.552219999999998</v>
      </c>
      <c r="E156">
        <v>51.056600000000003</v>
      </c>
      <c r="F156">
        <v>0.40636</v>
      </c>
      <c r="G156">
        <v>0.78176999999999996</v>
      </c>
    </row>
    <row r="157" spans="1:7" x14ac:dyDescent="0.25">
      <c r="A157">
        <v>1833.15</v>
      </c>
      <c r="B157">
        <v>4.2026399999999997</v>
      </c>
      <c r="C157">
        <v>1.72977</v>
      </c>
      <c r="D157">
        <v>30.696359999999999</v>
      </c>
      <c r="E157">
        <v>50.670990000000003</v>
      </c>
      <c r="F157">
        <v>0.40688000000000002</v>
      </c>
      <c r="G157">
        <v>0.78464999999999996</v>
      </c>
    </row>
    <row r="158" spans="1:7" x14ac:dyDescent="0.25">
      <c r="A158">
        <v>1843.15</v>
      </c>
      <c r="B158">
        <v>4.20045</v>
      </c>
      <c r="C158">
        <v>1.7480199999999999</v>
      </c>
      <c r="D158">
        <v>30.840530000000001</v>
      </c>
      <c r="E158">
        <v>50.285449999999997</v>
      </c>
      <c r="F158">
        <v>0.40739999999999998</v>
      </c>
      <c r="G158">
        <v>0.78754999999999997</v>
      </c>
    </row>
    <row r="159" spans="1:7" x14ac:dyDescent="0.25">
      <c r="A159">
        <v>1853.15</v>
      </c>
      <c r="B159">
        <v>4.1982600000000003</v>
      </c>
      <c r="C159">
        <v>1.7663500000000001</v>
      </c>
      <c r="D159">
        <v>30.984729999999999</v>
      </c>
      <c r="E159">
        <v>49.899979999999999</v>
      </c>
      <c r="F159">
        <v>0.40790999999999999</v>
      </c>
      <c r="G159">
        <v>0.79047000000000001</v>
      </c>
    </row>
    <row r="160" spans="1:7" x14ac:dyDescent="0.25">
      <c r="A160">
        <v>1863.15</v>
      </c>
      <c r="B160">
        <v>4.1960600000000001</v>
      </c>
      <c r="C160">
        <v>1.7847599999999999</v>
      </c>
      <c r="D160">
        <v>31.128959999999999</v>
      </c>
      <c r="E160">
        <v>49.514569999999999</v>
      </c>
      <c r="F160">
        <v>0.40844000000000003</v>
      </c>
      <c r="G160">
        <v>0.79342000000000001</v>
      </c>
    </row>
    <row r="161" spans="1:7" x14ac:dyDescent="0.25">
      <c r="A161">
        <v>1873.15</v>
      </c>
      <c r="B161">
        <v>4.1938500000000003</v>
      </c>
      <c r="C161">
        <v>1.8032300000000001</v>
      </c>
      <c r="D161">
        <v>31.273230000000002</v>
      </c>
      <c r="E161">
        <v>49.12923</v>
      </c>
      <c r="F161">
        <v>0.40895999999999999</v>
      </c>
      <c r="G161">
        <v>0.79639000000000004</v>
      </c>
    </row>
    <row r="162" spans="1:7" x14ac:dyDescent="0.25">
      <c r="A162">
        <v>1883.15</v>
      </c>
      <c r="B162">
        <v>4.1916399999999996</v>
      </c>
      <c r="C162">
        <v>1.82179</v>
      </c>
      <c r="D162">
        <v>31.417529999999999</v>
      </c>
      <c r="E162">
        <v>48.743960000000001</v>
      </c>
      <c r="F162">
        <v>0.40948000000000001</v>
      </c>
      <c r="G162">
        <v>0.79937999999999998</v>
      </c>
    </row>
    <row r="163" spans="1:7" x14ac:dyDescent="0.25">
      <c r="A163">
        <v>1893.15</v>
      </c>
      <c r="B163">
        <v>4.1894200000000001</v>
      </c>
      <c r="C163">
        <v>1.8404100000000001</v>
      </c>
      <c r="D163">
        <v>31.561869999999999</v>
      </c>
      <c r="E163">
        <v>48.358759999999997</v>
      </c>
      <c r="F163">
        <v>0.41</v>
      </c>
      <c r="G163">
        <v>0.8024</v>
      </c>
    </row>
    <row r="164" spans="1:7" x14ac:dyDescent="0.25">
      <c r="A164">
        <v>1903.15</v>
      </c>
      <c r="B164">
        <v>4.1871900000000002</v>
      </c>
      <c r="C164">
        <v>1.85911</v>
      </c>
      <c r="D164">
        <v>31.706240000000001</v>
      </c>
      <c r="E164">
        <v>47.97363</v>
      </c>
      <c r="F164">
        <v>0.41053000000000001</v>
      </c>
      <c r="G164">
        <v>0.80544000000000004</v>
      </c>
    </row>
    <row r="165" spans="1:7" x14ac:dyDescent="0.25">
      <c r="A165">
        <v>1913.15</v>
      </c>
      <c r="B165">
        <v>4.1849600000000002</v>
      </c>
      <c r="C165">
        <v>1.87788</v>
      </c>
      <c r="D165">
        <v>31.850650000000002</v>
      </c>
      <c r="E165">
        <v>47.588569999999997</v>
      </c>
      <c r="F165">
        <v>0.41105000000000003</v>
      </c>
      <c r="G165">
        <v>0.8085</v>
      </c>
    </row>
    <row r="166" spans="1:7" x14ac:dyDescent="0.25">
      <c r="A166">
        <v>1923.15</v>
      </c>
      <c r="B166">
        <v>4.1827199999999998</v>
      </c>
      <c r="C166">
        <v>1.89673</v>
      </c>
      <c r="D166">
        <v>31.995090000000001</v>
      </c>
      <c r="E166">
        <v>47.203580000000002</v>
      </c>
      <c r="F166">
        <v>0.41158</v>
      </c>
      <c r="G166">
        <v>0.81157999999999997</v>
      </c>
    </row>
    <row r="167" spans="1:7" x14ac:dyDescent="0.25">
      <c r="A167">
        <v>1933.15</v>
      </c>
      <c r="B167">
        <v>4.1804800000000002</v>
      </c>
      <c r="C167">
        <v>1.9156500000000001</v>
      </c>
      <c r="D167">
        <v>32.139569999999999</v>
      </c>
      <c r="E167">
        <v>46.818660000000001</v>
      </c>
      <c r="F167">
        <v>0.41210000000000002</v>
      </c>
      <c r="G167">
        <v>0.81467999999999996</v>
      </c>
    </row>
    <row r="168" spans="1:7" x14ac:dyDescent="0.25">
      <c r="A168">
        <v>1943.15</v>
      </c>
      <c r="B168">
        <v>4.1782300000000001</v>
      </c>
      <c r="C168">
        <v>1.9346399999999999</v>
      </c>
      <c r="D168">
        <v>32.284089999999999</v>
      </c>
      <c r="E168">
        <v>46.433819999999997</v>
      </c>
      <c r="F168">
        <v>0.41263</v>
      </c>
      <c r="G168">
        <v>0.81859000000000004</v>
      </c>
    </row>
    <row r="169" spans="1:7" x14ac:dyDescent="0.25">
      <c r="A169">
        <v>1953.15</v>
      </c>
      <c r="B169">
        <v>4.1759700000000004</v>
      </c>
      <c r="C169">
        <v>1.9537100000000001</v>
      </c>
      <c r="D169">
        <v>32.428649999999998</v>
      </c>
      <c r="E169">
        <v>46.049050000000001</v>
      </c>
      <c r="F169">
        <v>0.41316000000000003</v>
      </c>
      <c r="G169">
        <v>0.82523000000000002</v>
      </c>
    </row>
    <row r="170" spans="1:7" x14ac:dyDescent="0.25">
      <c r="A170">
        <v>1963.15</v>
      </c>
      <c r="B170">
        <v>4.1737099999999998</v>
      </c>
      <c r="C170">
        <v>1.97285</v>
      </c>
      <c r="D170">
        <v>32.573250000000002</v>
      </c>
      <c r="E170">
        <v>45.664349999999999</v>
      </c>
      <c r="F170">
        <v>0.41369</v>
      </c>
      <c r="G170">
        <v>0.83157000000000003</v>
      </c>
    </row>
    <row r="171" spans="1:7" x14ac:dyDescent="0.25">
      <c r="A171">
        <v>1969.98</v>
      </c>
      <c r="B171">
        <v>4.1721599999999999</v>
      </c>
      <c r="C171">
        <v>1.9859599999999999</v>
      </c>
      <c r="D171">
        <v>32.672029999999999</v>
      </c>
      <c r="E171">
        <v>45.40164</v>
      </c>
      <c r="F171">
        <v>0.41404999999999997</v>
      </c>
      <c r="G171" t="s">
        <v>7</v>
      </c>
    </row>
    <row r="172" spans="1:7" x14ac:dyDescent="0.25">
      <c r="A172">
        <v>1973.15</v>
      </c>
      <c r="B172">
        <v>4.1321099999999999</v>
      </c>
      <c r="C172">
        <v>2.32829</v>
      </c>
      <c r="D172">
        <v>32.315480000000001</v>
      </c>
      <c r="E172">
        <v>14.11767</v>
      </c>
      <c r="F172">
        <v>0.43573000000000001</v>
      </c>
      <c r="G172">
        <v>33.478650000000002</v>
      </c>
    </row>
    <row r="173" spans="1:7" x14ac:dyDescent="0.25">
      <c r="A173">
        <v>1983.15</v>
      </c>
      <c r="B173">
        <v>4.0180999999999996</v>
      </c>
      <c r="C173">
        <v>3.3401100000000001</v>
      </c>
      <c r="D173">
        <v>31.4938</v>
      </c>
      <c r="E173" s="1">
        <v>3.0761200000000002E-4</v>
      </c>
      <c r="F173">
        <v>0.49314000000000002</v>
      </c>
      <c r="G173">
        <v>9.21997</v>
      </c>
    </row>
    <row r="174" spans="1:7" x14ac:dyDescent="0.25">
      <c r="A174">
        <v>1986.6</v>
      </c>
      <c r="B174">
        <v>4.0084499999999998</v>
      </c>
      <c r="C174">
        <v>3.4283800000000002</v>
      </c>
      <c r="D174">
        <v>31.48978</v>
      </c>
      <c r="E174">
        <v>0</v>
      </c>
      <c r="F174">
        <v>0.49720999999999999</v>
      </c>
      <c r="G174" t="s">
        <v>7</v>
      </c>
    </row>
    <row r="175" spans="1:7" x14ac:dyDescent="0.25">
      <c r="A175">
        <v>1993.15</v>
      </c>
      <c r="B175">
        <v>4.0065</v>
      </c>
      <c r="C175">
        <v>3.4463300000000001</v>
      </c>
      <c r="D175">
        <v>31.593990000000002</v>
      </c>
      <c r="E175">
        <v>0</v>
      </c>
      <c r="F175">
        <v>0.49720999999999999</v>
      </c>
      <c r="G175">
        <v>0.97619999999999996</v>
      </c>
    </row>
    <row r="176" spans="1:7" x14ac:dyDescent="0.25">
      <c r="A176">
        <v>2003.15</v>
      </c>
      <c r="B176">
        <v>4.0034999999999998</v>
      </c>
      <c r="C176">
        <v>3.47383</v>
      </c>
      <c r="D176">
        <v>31.753160000000001</v>
      </c>
      <c r="E176">
        <v>0</v>
      </c>
      <c r="F176">
        <v>0.49720999999999999</v>
      </c>
      <c r="G176">
        <v>0.97636000000000001</v>
      </c>
    </row>
    <row r="177" spans="1:7" x14ac:dyDescent="0.25">
      <c r="A177">
        <v>2013.15</v>
      </c>
      <c r="B177">
        <v>4.0004999999999997</v>
      </c>
      <c r="C177">
        <v>3.50143</v>
      </c>
      <c r="D177">
        <v>31.912330000000001</v>
      </c>
      <c r="E177">
        <v>0</v>
      </c>
      <c r="F177">
        <v>0.49720999999999999</v>
      </c>
      <c r="G177">
        <v>0.97653000000000001</v>
      </c>
    </row>
    <row r="178" spans="1:7" x14ac:dyDescent="0.25">
      <c r="A178">
        <v>2023.15</v>
      </c>
      <c r="B178">
        <v>3.9975000000000001</v>
      </c>
      <c r="C178">
        <v>3.52915</v>
      </c>
      <c r="D178">
        <v>32.0715</v>
      </c>
      <c r="E178">
        <v>0</v>
      </c>
      <c r="F178">
        <v>0.49720999999999999</v>
      </c>
      <c r="G178">
        <v>0.97670000000000001</v>
      </c>
    </row>
    <row r="179" spans="1:7" x14ac:dyDescent="0.25">
      <c r="A179">
        <v>2033.15</v>
      </c>
      <c r="B179">
        <v>3.9944799999999998</v>
      </c>
      <c r="C179">
        <v>3.5569700000000002</v>
      </c>
      <c r="D179">
        <v>32.230670000000003</v>
      </c>
      <c r="E179">
        <v>0</v>
      </c>
      <c r="F179">
        <v>0.49720999999999999</v>
      </c>
      <c r="G179">
        <v>0.97687000000000002</v>
      </c>
    </row>
    <row r="180" spans="1:7" x14ac:dyDescent="0.25">
      <c r="A180">
        <v>2043.15</v>
      </c>
      <c r="B180">
        <v>3.99146</v>
      </c>
      <c r="C180">
        <v>3.5848900000000001</v>
      </c>
      <c r="D180">
        <v>32.38984</v>
      </c>
      <c r="E180">
        <v>0</v>
      </c>
      <c r="F180">
        <v>0.49720999999999999</v>
      </c>
      <c r="G180">
        <v>0.97702999999999995</v>
      </c>
    </row>
    <row r="181" spans="1:7" x14ac:dyDescent="0.25">
      <c r="A181">
        <v>2053.15</v>
      </c>
      <c r="B181">
        <v>3.9884300000000001</v>
      </c>
      <c r="C181">
        <v>3.61293</v>
      </c>
      <c r="D181">
        <v>32.549010000000003</v>
      </c>
      <c r="E181">
        <v>0</v>
      </c>
      <c r="F181">
        <v>0.49720999999999999</v>
      </c>
      <c r="G181">
        <v>0.97718000000000005</v>
      </c>
    </row>
    <row r="182" spans="1:7" x14ac:dyDescent="0.25">
      <c r="A182">
        <v>2063.15</v>
      </c>
      <c r="B182">
        <v>3.9853999999999998</v>
      </c>
      <c r="C182">
        <v>3.64107</v>
      </c>
      <c r="D182">
        <v>32.708179999999999</v>
      </c>
      <c r="E182">
        <v>0</v>
      </c>
      <c r="F182">
        <v>0.49720999999999999</v>
      </c>
      <c r="G182">
        <v>0.97729999999999995</v>
      </c>
    </row>
    <row r="183" spans="1:7" x14ac:dyDescent="0.25">
      <c r="A183">
        <v>2073.15</v>
      </c>
      <c r="B183">
        <v>3.9823499999999998</v>
      </c>
      <c r="C183">
        <v>3.6693099999999998</v>
      </c>
      <c r="D183">
        <v>32.867339999999999</v>
      </c>
      <c r="E183">
        <v>0</v>
      </c>
      <c r="F183">
        <v>0.49720999999999999</v>
      </c>
      <c r="G183">
        <v>0.97733000000000003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3"/>
  <sheetViews>
    <sheetView topLeftCell="A85" workbookViewId="0">
      <selection activeCell="G101" sqref="G101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</row>
    <row r="3" spans="1:7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</row>
    <row r="4" spans="1:7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</row>
    <row r="5" spans="1:7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</row>
    <row r="6" spans="1:7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</row>
    <row r="7" spans="1:7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</row>
    <row r="8" spans="1:7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</row>
    <row r="9" spans="1:7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</row>
    <row r="10" spans="1:7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</row>
    <row r="11" spans="1:7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</row>
    <row r="12" spans="1:7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</row>
    <row r="13" spans="1:7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</row>
    <row r="14" spans="1:7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</row>
    <row r="15" spans="1:7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</row>
    <row r="16" spans="1:7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</row>
    <row r="17" spans="1:7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</row>
    <row r="18" spans="1:7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</row>
    <row r="19" spans="1:7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</row>
    <row r="20" spans="1:7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</row>
    <row r="21" spans="1:7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</row>
    <row r="22" spans="1:7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</row>
    <row r="23" spans="1:7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</row>
    <row r="24" spans="1:7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</row>
    <row r="25" spans="1:7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</row>
    <row r="26" spans="1:7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</row>
    <row r="27" spans="1:7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</row>
    <row r="28" spans="1:7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</row>
    <row r="29" spans="1:7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</row>
    <row r="30" spans="1:7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</row>
    <row r="31" spans="1:7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</row>
    <row r="32" spans="1:7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</row>
    <row r="33" spans="1:7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</row>
    <row r="34" spans="1:7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</row>
    <row r="35" spans="1:7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</row>
    <row r="36" spans="1:7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</row>
    <row r="37" spans="1:7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</row>
    <row r="38" spans="1:7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</row>
    <row r="39" spans="1:7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</row>
    <row r="40" spans="1:7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</row>
    <row r="41" spans="1:7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</row>
    <row r="42" spans="1:7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</row>
    <row r="43" spans="1:7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</row>
    <row r="44" spans="1:7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</row>
    <row r="45" spans="1:7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</row>
    <row r="46" spans="1:7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</row>
    <row r="47" spans="1:7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</row>
    <row r="48" spans="1:7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</row>
    <row r="49" spans="1:7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</row>
    <row r="50" spans="1:7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</row>
    <row r="51" spans="1:7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</row>
    <row r="52" spans="1:7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</row>
    <row r="53" spans="1:7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</row>
    <row r="54" spans="1:7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</row>
    <row r="55" spans="1:7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</row>
    <row r="56" spans="1:7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</row>
    <row r="57" spans="1:7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</row>
    <row r="58" spans="1:7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</row>
    <row r="59" spans="1:7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</row>
    <row r="60" spans="1:7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</row>
    <row r="61" spans="1:7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</row>
    <row r="62" spans="1:7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</row>
    <row r="63" spans="1:7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</row>
    <row r="64" spans="1:7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</row>
    <row r="65" spans="1:7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</row>
    <row r="66" spans="1:7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</row>
    <row r="67" spans="1:7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</row>
    <row r="68" spans="1:7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</row>
    <row r="69" spans="1:7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</row>
    <row r="70" spans="1:7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</row>
    <row r="71" spans="1:7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</row>
    <row r="72" spans="1:7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</row>
    <row r="73" spans="1:7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</row>
    <row r="74" spans="1:7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</row>
    <row r="75" spans="1:7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</row>
    <row r="76" spans="1:7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</row>
    <row r="77" spans="1:7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</row>
    <row r="78" spans="1:7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</row>
    <row r="79" spans="1:7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</row>
    <row r="80" spans="1:7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</row>
    <row r="81" spans="1:7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</row>
    <row r="82" spans="1:7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</row>
    <row r="83" spans="1:7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</row>
    <row r="84" spans="1:7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</row>
    <row r="85" spans="1:7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</row>
    <row r="86" spans="1:7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</row>
    <row r="87" spans="1:7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</row>
    <row r="88" spans="1:7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</row>
    <row r="89" spans="1:7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</row>
    <row r="90" spans="1:7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</row>
    <row r="91" spans="1:7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</row>
    <row r="92" spans="1:7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</row>
    <row r="93" spans="1:7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</row>
    <row r="94" spans="1:7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</row>
    <row r="95" spans="1:7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</row>
    <row r="96" spans="1:7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</row>
    <row r="97" spans="1:7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</row>
    <row r="98" spans="1:7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</row>
    <row r="99" spans="1:7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</row>
    <row r="100" spans="1:7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</row>
    <row r="101" spans="1:7" x14ac:dyDescent="0.25">
      <c r="A101" s="2">
        <v>1275.06</v>
      </c>
      <c r="B101" s="2">
        <v>4313.84</v>
      </c>
      <c r="C101" s="3">
        <v>8.2591000000000001E-3</v>
      </c>
      <c r="D101" s="4">
        <v>22.67576</v>
      </c>
      <c r="E101" s="1">
        <v>72273680000</v>
      </c>
      <c r="F101" s="4">
        <v>0.37934000000000001</v>
      </c>
      <c r="G101" s="2" t="s">
        <v>7</v>
      </c>
    </row>
    <row r="102" spans="1:7" x14ac:dyDescent="0.25">
      <c r="A102" s="2">
        <v>1283.1500000000001</v>
      </c>
      <c r="B102" s="2">
        <v>4312.3899999999994</v>
      </c>
      <c r="C102" s="3">
        <v>8.3741000000000006E-3</v>
      </c>
      <c r="D102" s="4">
        <v>22.792120000000001</v>
      </c>
      <c r="E102" s="1">
        <v>71959770000</v>
      </c>
      <c r="F102" s="4">
        <v>0.37972</v>
      </c>
      <c r="G102" s="2">
        <v>665.35</v>
      </c>
    </row>
    <row r="103" spans="1:7" x14ac:dyDescent="0.25">
      <c r="A103" s="2">
        <v>1293.1500000000001</v>
      </c>
      <c r="B103" s="2">
        <v>4310.59</v>
      </c>
      <c r="C103" s="3">
        <v>8.5168999999999991E-3</v>
      </c>
      <c r="D103" s="4">
        <v>22.93601</v>
      </c>
      <c r="E103" s="1">
        <v>71571550000</v>
      </c>
      <c r="F103" s="4">
        <v>0.38018999999999997</v>
      </c>
      <c r="G103" s="2">
        <v>666.69999999999993</v>
      </c>
    </row>
    <row r="104" spans="1:7" x14ac:dyDescent="0.25">
      <c r="A104" s="2">
        <v>1303.1500000000001</v>
      </c>
      <c r="B104" s="2">
        <v>4308.78</v>
      </c>
      <c r="C104" s="3">
        <v>8.6604999999999998E-3</v>
      </c>
      <c r="D104" s="4">
        <v>23.07985</v>
      </c>
      <c r="E104" s="1">
        <v>71183360000</v>
      </c>
      <c r="F104" s="4">
        <v>0.38066</v>
      </c>
      <c r="G104" s="2">
        <v>668.08999999999992</v>
      </c>
    </row>
    <row r="105" spans="1:7" x14ac:dyDescent="0.25">
      <c r="A105" s="2">
        <v>1313.15</v>
      </c>
      <c r="B105" s="2">
        <v>4306.96</v>
      </c>
      <c r="C105" s="3">
        <v>8.8047999999999998E-3</v>
      </c>
      <c r="D105" s="4">
        <v>23.223659999999999</v>
      </c>
      <c r="E105" s="1">
        <v>70795200000</v>
      </c>
      <c r="F105" s="4">
        <v>0.38113000000000002</v>
      </c>
      <c r="G105" s="2">
        <v>669.52</v>
      </c>
    </row>
    <row r="106" spans="1:7" x14ac:dyDescent="0.25">
      <c r="A106" s="2">
        <v>1323.15</v>
      </c>
      <c r="B106" s="2">
        <v>4305.1399999999994</v>
      </c>
      <c r="C106" s="3">
        <v>8.9498000000000008E-3</v>
      </c>
      <c r="D106" s="4">
        <v>23.367439999999998</v>
      </c>
      <c r="E106" s="1">
        <v>70407070000</v>
      </c>
      <c r="F106" s="4">
        <v>0.38159999999999999</v>
      </c>
      <c r="G106" s="2">
        <v>670.98</v>
      </c>
    </row>
    <row r="107" spans="1:7" x14ac:dyDescent="0.25">
      <c r="A107" s="2">
        <v>1333.15</v>
      </c>
      <c r="B107" s="2">
        <v>4303.3099999999986</v>
      </c>
      <c r="C107" s="3">
        <v>9.0954999999999994E-3</v>
      </c>
      <c r="D107" s="4">
        <v>23.511189999999999</v>
      </c>
      <c r="E107" s="1">
        <v>70018980000</v>
      </c>
      <c r="F107" s="4">
        <v>0.38207999999999998</v>
      </c>
      <c r="G107" s="2">
        <v>672.48</v>
      </c>
    </row>
    <row r="108" spans="1:7" x14ac:dyDescent="0.25">
      <c r="A108" s="2">
        <v>1343.15</v>
      </c>
      <c r="B108" s="2">
        <v>4301.47</v>
      </c>
      <c r="C108" s="3">
        <v>9.2418999999999991E-3</v>
      </c>
      <c r="D108" s="4">
        <v>23.654910000000001</v>
      </c>
      <c r="E108" s="1">
        <v>69630910000</v>
      </c>
      <c r="F108" s="4">
        <v>0.38255</v>
      </c>
      <c r="G108" s="2">
        <v>674.01</v>
      </c>
    </row>
    <row r="109" spans="1:7" x14ac:dyDescent="0.25">
      <c r="A109" s="2">
        <v>1353.15</v>
      </c>
      <c r="B109" s="2">
        <v>4299.62</v>
      </c>
      <c r="C109" s="3">
        <v>9.3889999999999998E-3</v>
      </c>
      <c r="D109" s="4">
        <v>23.79861</v>
      </c>
      <c r="E109" s="1">
        <v>69242890000</v>
      </c>
      <c r="F109" s="4">
        <v>0.38302999999999998</v>
      </c>
      <c r="G109" s="2">
        <v>675.57999999999993</v>
      </c>
    </row>
    <row r="110" spans="1:7" x14ac:dyDescent="0.25">
      <c r="A110" s="2">
        <v>1363.15</v>
      </c>
      <c r="B110" s="2">
        <v>4297.7700000000004</v>
      </c>
      <c r="C110" s="3">
        <v>9.5367999999999998E-3</v>
      </c>
      <c r="D110" s="4">
        <v>23.94228</v>
      </c>
      <c r="E110" s="1">
        <v>68854900000</v>
      </c>
      <c r="F110" s="4">
        <v>0.38350000000000001</v>
      </c>
      <c r="G110" s="2">
        <v>677.18</v>
      </c>
    </row>
    <row r="111" spans="1:7" x14ac:dyDescent="0.25">
      <c r="A111" s="2">
        <v>1373.15</v>
      </c>
      <c r="B111" s="2">
        <v>4295.91</v>
      </c>
      <c r="C111" s="3">
        <v>9.6854000000000003E-3</v>
      </c>
      <c r="D111" s="4">
        <v>24.085930000000001</v>
      </c>
      <c r="E111" s="1">
        <v>68466950000</v>
      </c>
      <c r="F111" s="4">
        <v>0.38397999999999999</v>
      </c>
      <c r="G111" s="2">
        <v>678.81000000000006</v>
      </c>
    </row>
    <row r="112" spans="1:7" x14ac:dyDescent="0.25">
      <c r="A112" s="2">
        <v>1383.15</v>
      </c>
      <c r="B112" s="2">
        <v>4294.04</v>
      </c>
      <c r="C112" s="3">
        <v>9.8347E-3</v>
      </c>
      <c r="D112" s="4">
        <v>24.229559999999999</v>
      </c>
      <c r="E112" s="1">
        <v>68079030000</v>
      </c>
      <c r="F112" s="4">
        <v>0.38446000000000002</v>
      </c>
      <c r="G112" s="2">
        <v>680.47</v>
      </c>
    </row>
    <row r="113" spans="1:7" x14ac:dyDescent="0.25">
      <c r="A113" s="2">
        <v>1393.15</v>
      </c>
      <c r="B113" s="2">
        <v>4292.16</v>
      </c>
      <c r="C113" s="3">
        <v>9.9845999999999997E-3</v>
      </c>
      <c r="D113" s="4">
        <v>24.373169999999998</v>
      </c>
      <c r="E113" s="1">
        <v>67691149999.999992</v>
      </c>
      <c r="F113" s="4">
        <v>0.38494</v>
      </c>
      <c r="G113" s="2">
        <v>682.17000000000007</v>
      </c>
    </row>
    <row r="114" spans="1:7" x14ac:dyDescent="0.25">
      <c r="A114" s="2">
        <v>1403.15</v>
      </c>
      <c r="B114" s="2">
        <v>4290.28</v>
      </c>
      <c r="C114" s="3">
        <v>1.01353E-2</v>
      </c>
      <c r="D114" s="4">
        <v>24.516770000000001</v>
      </c>
      <c r="E114" s="1">
        <v>67303310000</v>
      </c>
      <c r="F114" s="4">
        <v>0.38540999999999997</v>
      </c>
      <c r="G114" s="2">
        <v>683.9</v>
      </c>
    </row>
    <row r="115" spans="1:7" x14ac:dyDescent="0.25">
      <c r="A115" s="2">
        <v>1413.15</v>
      </c>
      <c r="B115" s="2">
        <v>4288.3899999999994</v>
      </c>
      <c r="C115" s="3">
        <v>1.02868E-2</v>
      </c>
      <c r="D115" s="4">
        <v>24.660350000000001</v>
      </c>
      <c r="E115" s="1">
        <v>66915499999.999992</v>
      </c>
      <c r="F115" s="4">
        <v>0.38590000000000002</v>
      </c>
      <c r="G115" s="2">
        <v>685.66000000000008</v>
      </c>
    </row>
    <row r="116" spans="1:7" x14ac:dyDescent="0.25">
      <c r="A116" s="2">
        <v>1423.15</v>
      </c>
      <c r="B116" s="2">
        <v>4286.49</v>
      </c>
      <c r="C116" s="3">
        <v>1.0438899999999999E-2</v>
      </c>
      <c r="D116" s="4">
        <v>24.803930000000001</v>
      </c>
      <c r="E116" s="1">
        <v>66527739999.999992</v>
      </c>
      <c r="F116" s="4">
        <v>0.38638</v>
      </c>
      <c r="G116" s="2">
        <v>687.45</v>
      </c>
    </row>
    <row r="117" spans="1:7" x14ac:dyDescent="0.25">
      <c r="A117" s="2">
        <v>1433.15</v>
      </c>
      <c r="B117" s="2">
        <v>4284.58</v>
      </c>
      <c r="C117" s="3">
        <v>1.0591700000000001E-2</v>
      </c>
      <c r="D117" s="4">
        <v>24.947489999999998</v>
      </c>
      <c r="E117" s="1">
        <v>66140010000</v>
      </c>
      <c r="F117" s="4">
        <v>0.38685999999999998</v>
      </c>
      <c r="G117" s="2">
        <v>689.28</v>
      </c>
    </row>
    <row r="118" spans="1:7" x14ac:dyDescent="0.25">
      <c r="A118" s="2">
        <v>1443.15</v>
      </c>
      <c r="B118" s="2">
        <v>4282.67</v>
      </c>
      <c r="C118" s="3">
        <v>1.0745299999999999E-2</v>
      </c>
      <c r="D118" s="4">
        <v>25.09104</v>
      </c>
      <c r="E118" s="1">
        <v>65752330000</v>
      </c>
      <c r="F118" s="4">
        <v>0.38734000000000002</v>
      </c>
      <c r="G118" s="2">
        <v>691.13</v>
      </c>
    </row>
    <row r="119" spans="1:7" x14ac:dyDescent="0.25">
      <c r="A119" s="2">
        <v>1453.15</v>
      </c>
      <c r="B119" s="2">
        <v>4280.75</v>
      </c>
      <c r="C119" s="3">
        <v>1.0899600000000001E-2</v>
      </c>
      <c r="D119" s="4">
        <v>25.234590000000001</v>
      </c>
      <c r="E119" s="1">
        <v>65364680000.000008</v>
      </c>
      <c r="F119" s="4">
        <v>0.38783000000000001</v>
      </c>
      <c r="G119" s="2">
        <v>693.01</v>
      </c>
    </row>
    <row r="120" spans="1:7" x14ac:dyDescent="0.25">
      <c r="A120" s="2">
        <v>1463.15</v>
      </c>
      <c r="B120" s="2">
        <v>4278.83</v>
      </c>
      <c r="C120" s="3">
        <v>1.1054599999999999E-2</v>
      </c>
      <c r="D120" s="4">
        <v>25.378129999999999</v>
      </c>
      <c r="E120" s="1">
        <v>64977080000</v>
      </c>
      <c r="F120" s="4">
        <v>0.38830999999999999</v>
      </c>
      <c r="G120" s="2">
        <v>694.93000000000006</v>
      </c>
    </row>
    <row r="121" spans="1:7" x14ac:dyDescent="0.25">
      <c r="A121" s="2">
        <v>1473.15</v>
      </c>
      <c r="B121" s="2">
        <v>4276.8899999999994</v>
      </c>
      <c r="C121" s="3">
        <v>1.1210299999999999E-2</v>
      </c>
      <c r="D121" s="4">
        <v>25.521660000000001</v>
      </c>
      <c r="E121" s="1">
        <v>64589519999.999992</v>
      </c>
      <c r="F121" s="4">
        <v>0.38879999999999998</v>
      </c>
      <c r="G121" s="2">
        <v>696.87</v>
      </c>
    </row>
    <row r="122" spans="1:7" x14ac:dyDescent="0.25">
      <c r="A122" s="2">
        <v>1483.15</v>
      </c>
      <c r="B122" s="2">
        <v>4274.95</v>
      </c>
      <c r="C122" s="3">
        <v>1.13667E-2</v>
      </c>
      <c r="D122" s="4">
        <v>25.665199999999999</v>
      </c>
      <c r="E122" s="1">
        <v>64202010000</v>
      </c>
      <c r="F122" s="4">
        <v>0.38928000000000001</v>
      </c>
      <c r="G122" s="2">
        <v>698.84</v>
      </c>
    </row>
    <row r="123" spans="1:7" x14ac:dyDescent="0.25">
      <c r="A123" s="2">
        <v>1493.15</v>
      </c>
      <c r="B123" s="2">
        <v>4273</v>
      </c>
      <c r="C123" s="3">
        <v>1.15239E-2</v>
      </c>
      <c r="D123" s="4">
        <v>25.808730000000001</v>
      </c>
      <c r="E123" s="1">
        <v>63814530000</v>
      </c>
      <c r="F123" s="4">
        <v>0.38977000000000001</v>
      </c>
      <c r="G123" s="2">
        <v>700.84</v>
      </c>
    </row>
    <row r="124" spans="1:7" x14ac:dyDescent="0.25">
      <c r="A124" s="2">
        <v>1503.15</v>
      </c>
      <c r="B124" s="2">
        <v>4271.05</v>
      </c>
      <c r="C124" s="3">
        <v>1.16817E-2</v>
      </c>
      <c r="D124" s="4">
        <v>25.952259999999999</v>
      </c>
      <c r="E124" s="1">
        <v>63427100000</v>
      </c>
      <c r="F124" s="4">
        <v>0.39026</v>
      </c>
      <c r="G124" s="2">
        <v>702.87</v>
      </c>
    </row>
    <row r="125" spans="1:7" x14ac:dyDescent="0.25">
      <c r="A125" s="2">
        <v>1513.15</v>
      </c>
      <c r="B125" s="2">
        <v>4269.09</v>
      </c>
      <c r="C125" s="3">
        <v>1.18403E-2</v>
      </c>
      <c r="D125" s="4">
        <v>26.095800000000001</v>
      </c>
      <c r="E125" s="1">
        <v>63039720000</v>
      </c>
      <c r="F125" s="4">
        <v>0.39074999999999999</v>
      </c>
      <c r="G125" s="2">
        <v>704.93</v>
      </c>
    </row>
    <row r="126" spans="1:7" x14ac:dyDescent="0.25">
      <c r="A126" s="2">
        <v>1523.15</v>
      </c>
      <c r="B126" s="2">
        <v>4267.12</v>
      </c>
      <c r="C126" s="3">
        <v>1.1999599999999999E-2</v>
      </c>
      <c r="D126" s="4">
        <v>26.239329999999999</v>
      </c>
      <c r="E126" s="1">
        <v>62652380000</v>
      </c>
      <c r="F126" s="4">
        <v>0.39123999999999998</v>
      </c>
      <c r="G126" s="2">
        <v>707.01</v>
      </c>
    </row>
    <row r="127" spans="1:7" x14ac:dyDescent="0.25">
      <c r="A127" s="2">
        <v>1533.15</v>
      </c>
      <c r="B127" s="2">
        <v>4265.1399999999994</v>
      </c>
      <c r="C127" s="3">
        <v>1.2159700000000001E-2</v>
      </c>
      <c r="D127" s="4">
        <v>26.38287</v>
      </c>
      <c r="E127" s="1">
        <v>62265090000</v>
      </c>
      <c r="F127" s="4">
        <v>0.39173000000000002</v>
      </c>
      <c r="G127" s="2">
        <v>709.13</v>
      </c>
    </row>
    <row r="128" spans="1:7" x14ac:dyDescent="0.25">
      <c r="A128" s="2">
        <v>1543.15</v>
      </c>
      <c r="B128" s="2">
        <v>4263.16</v>
      </c>
      <c r="C128" s="3">
        <v>1.23204E-2</v>
      </c>
      <c r="D128" s="4">
        <v>26.526420000000002</v>
      </c>
      <c r="E128" s="1">
        <v>61877850000</v>
      </c>
      <c r="F128" s="4">
        <v>0.39222000000000001</v>
      </c>
      <c r="G128" s="2">
        <v>711.27</v>
      </c>
    </row>
    <row r="129" spans="1:7" x14ac:dyDescent="0.25">
      <c r="A129" s="2">
        <v>1553.15</v>
      </c>
      <c r="B129" s="2">
        <v>4261.17</v>
      </c>
      <c r="C129" s="3">
        <v>1.2481900000000001E-2</v>
      </c>
      <c r="D129" s="4">
        <v>26.669979999999999</v>
      </c>
      <c r="E129" s="1">
        <v>61490650000</v>
      </c>
      <c r="F129" s="4">
        <v>0.39271</v>
      </c>
      <c r="G129" s="2">
        <v>713.43999999999994</v>
      </c>
    </row>
    <row r="130" spans="1:7" x14ac:dyDescent="0.25">
      <c r="A130" s="2">
        <v>1563.15</v>
      </c>
      <c r="B130" s="2">
        <v>4259.17</v>
      </c>
      <c r="C130" s="3">
        <v>1.26441E-2</v>
      </c>
      <c r="D130" s="4">
        <v>26.81354</v>
      </c>
      <c r="E130" s="1">
        <v>61103500000</v>
      </c>
      <c r="F130" s="4">
        <v>0.39321</v>
      </c>
      <c r="G130" s="2">
        <v>715.6400000000001</v>
      </c>
    </row>
    <row r="131" spans="1:7" x14ac:dyDescent="0.25">
      <c r="A131" s="2">
        <v>1573.15</v>
      </c>
      <c r="B131" s="2">
        <v>4257.16</v>
      </c>
      <c r="C131" s="3">
        <v>1.2807000000000001E-2</v>
      </c>
      <c r="D131" s="4">
        <v>26.95711</v>
      </c>
      <c r="E131" s="1">
        <v>60716400000</v>
      </c>
      <c r="F131" s="4">
        <v>0.39369999999999999</v>
      </c>
      <c r="G131" s="2">
        <v>717.86</v>
      </c>
    </row>
    <row r="132" spans="1:7" x14ac:dyDescent="0.25">
      <c r="A132" s="2">
        <v>1583.15</v>
      </c>
      <c r="B132" s="2">
        <v>4255.1500000000005</v>
      </c>
      <c r="C132" s="3">
        <v>1.2970600000000001E-2</v>
      </c>
      <c r="D132" s="4">
        <v>27.10069</v>
      </c>
      <c r="E132" s="1">
        <v>60329350000</v>
      </c>
      <c r="F132" s="4">
        <v>0.39419999999999999</v>
      </c>
      <c r="G132" s="2">
        <v>720.11</v>
      </c>
    </row>
    <row r="133" spans="1:7" x14ac:dyDescent="0.25">
      <c r="A133" s="2">
        <v>1593.15</v>
      </c>
      <c r="B133" s="2">
        <v>4253.1299999999992</v>
      </c>
      <c r="C133" s="3">
        <v>1.3135000000000001E-2</v>
      </c>
      <c r="D133" s="4">
        <v>27.24428</v>
      </c>
      <c r="E133" s="1">
        <v>59942340000</v>
      </c>
      <c r="F133" s="4">
        <v>0.3947</v>
      </c>
      <c r="G133" s="2">
        <v>722.39</v>
      </c>
    </row>
    <row r="134" spans="1:7" x14ac:dyDescent="0.25">
      <c r="A134" s="2">
        <v>1603.15</v>
      </c>
      <c r="B134" s="2">
        <v>4251.1099999999997</v>
      </c>
      <c r="C134" s="3">
        <v>1.33001E-2</v>
      </c>
      <c r="D134" s="4">
        <v>27.387889999999999</v>
      </c>
      <c r="E134" s="1">
        <v>59555390000</v>
      </c>
      <c r="F134" s="4">
        <v>0.39518999999999999</v>
      </c>
      <c r="G134" s="2">
        <v>724.68999999999994</v>
      </c>
    </row>
    <row r="135" spans="1:7" x14ac:dyDescent="0.25">
      <c r="A135" s="2">
        <v>1613.15</v>
      </c>
      <c r="B135" s="2">
        <v>4249.08</v>
      </c>
      <c r="C135" s="3">
        <v>1.3465899999999999E-2</v>
      </c>
      <c r="D135" s="4">
        <v>27.531500000000001</v>
      </c>
      <c r="E135" s="1">
        <v>59168490000</v>
      </c>
      <c r="F135" s="4">
        <v>0.39568999999999999</v>
      </c>
      <c r="G135" s="2">
        <v>727.02</v>
      </c>
    </row>
    <row r="136" spans="1:7" x14ac:dyDescent="0.25">
      <c r="A136" s="2">
        <v>1623.15</v>
      </c>
      <c r="B136" s="2">
        <v>4247.04</v>
      </c>
      <c r="C136" s="3">
        <v>1.3632399999999999E-2</v>
      </c>
      <c r="D136" s="4">
        <v>27.675139999999999</v>
      </c>
      <c r="E136" s="1">
        <v>58781650000</v>
      </c>
      <c r="F136" s="4">
        <v>0.39618999999999999</v>
      </c>
      <c r="G136" s="2">
        <v>729.38</v>
      </c>
    </row>
    <row r="137" spans="1:7" x14ac:dyDescent="0.25">
      <c r="A137" s="2">
        <v>1633.15</v>
      </c>
      <c r="B137" s="2">
        <v>4244.99</v>
      </c>
      <c r="C137" s="3">
        <v>1.37997E-2</v>
      </c>
      <c r="D137" s="4">
        <v>27.81878</v>
      </c>
      <c r="E137" s="1">
        <v>58394850000</v>
      </c>
      <c r="F137" s="4">
        <v>0.39668999999999999</v>
      </c>
      <c r="G137" s="2">
        <v>731.76</v>
      </c>
    </row>
    <row r="138" spans="1:7" x14ac:dyDescent="0.25">
      <c r="A138" s="2">
        <v>1643.15</v>
      </c>
      <c r="B138" s="2">
        <v>4242.9399999999996</v>
      </c>
      <c r="C138" s="3">
        <v>1.39677E-2</v>
      </c>
      <c r="D138" s="4">
        <v>27.96245</v>
      </c>
      <c r="E138" s="1">
        <v>58008110000</v>
      </c>
      <c r="F138" s="4">
        <v>0.39718999999999999</v>
      </c>
      <c r="G138" s="2">
        <v>734.17</v>
      </c>
    </row>
    <row r="139" spans="1:7" x14ac:dyDescent="0.25">
      <c r="A139" s="2">
        <v>1653.15</v>
      </c>
      <c r="B139" s="2">
        <v>4240.88</v>
      </c>
      <c r="C139" s="3">
        <v>1.41364E-2</v>
      </c>
      <c r="D139" s="4">
        <v>28.10613</v>
      </c>
      <c r="E139" s="1">
        <v>57621420000</v>
      </c>
      <c r="F139" s="4">
        <v>0.39768999999999999</v>
      </c>
      <c r="G139" s="2">
        <v>736.6</v>
      </c>
    </row>
    <row r="140" spans="1:7" x14ac:dyDescent="0.25">
      <c r="A140" s="2">
        <v>1663.15</v>
      </c>
      <c r="B140" s="2">
        <v>4238.8100000000004</v>
      </c>
      <c r="C140" s="3">
        <v>1.43058E-2</v>
      </c>
      <c r="D140" s="4">
        <v>28.249829999999999</v>
      </c>
      <c r="E140" s="1">
        <v>57234790000</v>
      </c>
      <c r="F140" s="4">
        <v>0.3982</v>
      </c>
      <c r="G140" s="2">
        <v>739.06000000000006</v>
      </c>
    </row>
    <row r="141" spans="1:7" x14ac:dyDescent="0.25">
      <c r="A141" s="2">
        <v>1673.15</v>
      </c>
      <c r="B141" s="2">
        <v>4236.74</v>
      </c>
      <c r="C141" s="3">
        <v>1.4475999999999999E-2</v>
      </c>
      <c r="D141" s="4">
        <v>28.393550000000001</v>
      </c>
      <c r="E141" s="1">
        <v>56848210000</v>
      </c>
      <c r="F141" s="4">
        <v>0.3987</v>
      </c>
      <c r="G141" s="2">
        <v>741.54</v>
      </c>
    </row>
    <row r="142" spans="1:7" x14ac:dyDescent="0.25">
      <c r="A142" s="2">
        <v>1683.15</v>
      </c>
      <c r="B142" s="2">
        <v>4234.6500000000005</v>
      </c>
      <c r="C142" s="3">
        <v>1.46468E-2</v>
      </c>
      <c r="D142" s="4">
        <v>28.537289999999999</v>
      </c>
      <c r="E142" s="1">
        <v>56461690000</v>
      </c>
      <c r="F142" s="4">
        <v>0.3992</v>
      </c>
      <c r="G142" s="2">
        <v>744.05</v>
      </c>
    </row>
    <row r="143" spans="1:7" x14ac:dyDescent="0.25">
      <c r="A143" s="2">
        <v>1693.15</v>
      </c>
      <c r="B143" s="2">
        <v>4232.57</v>
      </c>
      <c r="C143" s="3">
        <v>1.48185E-2</v>
      </c>
      <c r="D143" s="4">
        <v>28.681049999999999</v>
      </c>
      <c r="E143" s="1">
        <v>56075220000</v>
      </c>
      <c r="F143" s="4">
        <v>0.39971000000000001</v>
      </c>
      <c r="G143" s="2">
        <v>746.59</v>
      </c>
    </row>
    <row r="144" spans="1:7" x14ac:dyDescent="0.25">
      <c r="A144" s="2">
        <v>1703.15</v>
      </c>
      <c r="B144" s="2">
        <v>4230.47</v>
      </c>
      <c r="C144" s="3">
        <v>1.49908E-2</v>
      </c>
      <c r="D144" s="4">
        <v>28.824839999999998</v>
      </c>
      <c r="E144" s="1">
        <v>55688810000</v>
      </c>
      <c r="F144" s="4">
        <v>0.40021000000000001</v>
      </c>
      <c r="G144" s="2">
        <v>749.15</v>
      </c>
    </row>
    <row r="145" spans="1:7" x14ac:dyDescent="0.25">
      <c r="A145" s="2">
        <v>1713.15</v>
      </c>
      <c r="B145" s="2">
        <v>4228.37</v>
      </c>
      <c r="C145" s="3">
        <v>1.5163899999999999E-2</v>
      </c>
      <c r="D145" s="4">
        <v>28.968640000000001</v>
      </c>
      <c r="E145" s="1">
        <v>55302460000</v>
      </c>
      <c r="F145" s="4">
        <v>0.40072000000000002</v>
      </c>
      <c r="G145" s="2">
        <v>751.73</v>
      </c>
    </row>
    <row r="146" spans="1:7" x14ac:dyDescent="0.25">
      <c r="A146" s="2">
        <v>1723.15</v>
      </c>
      <c r="B146" s="2">
        <v>4226.26</v>
      </c>
      <c r="C146" s="3">
        <v>1.5337699999999999E-2</v>
      </c>
      <c r="D146" s="4">
        <v>29.112469999999998</v>
      </c>
      <c r="E146" s="1">
        <v>54916170000</v>
      </c>
      <c r="F146" s="4">
        <v>0.40122999999999998</v>
      </c>
      <c r="G146" s="2">
        <v>754.34</v>
      </c>
    </row>
    <row r="147" spans="1:7" x14ac:dyDescent="0.25">
      <c r="A147" s="2">
        <v>1733.15</v>
      </c>
      <c r="B147" s="2">
        <v>4224.1499999999996</v>
      </c>
      <c r="C147" s="3">
        <v>1.55122E-2</v>
      </c>
      <c r="D147" s="4">
        <v>29.256319999999999</v>
      </c>
      <c r="E147" s="1">
        <v>54529940000</v>
      </c>
      <c r="F147" s="4">
        <v>0.40173999999999999</v>
      </c>
      <c r="G147" s="2">
        <v>756.97</v>
      </c>
    </row>
    <row r="148" spans="1:7" x14ac:dyDescent="0.25">
      <c r="A148" s="2">
        <v>1743.15</v>
      </c>
      <c r="B148" s="2">
        <v>4222.03</v>
      </c>
      <c r="C148" s="3">
        <v>1.56875E-2</v>
      </c>
      <c r="D148" s="4">
        <v>29.400200000000002</v>
      </c>
      <c r="E148" s="1">
        <v>54143760000</v>
      </c>
      <c r="F148" s="4">
        <v>0.40225</v>
      </c>
      <c r="G148" s="2">
        <v>759.63</v>
      </c>
    </row>
    <row r="149" spans="1:7" x14ac:dyDescent="0.25">
      <c r="A149" s="2">
        <v>1753.15</v>
      </c>
      <c r="B149" s="2">
        <v>4219.8999999999996</v>
      </c>
      <c r="C149" s="3">
        <v>1.58634E-2</v>
      </c>
      <c r="D149" s="4">
        <v>29.54411</v>
      </c>
      <c r="E149" s="1">
        <v>53757650000</v>
      </c>
      <c r="F149" s="4">
        <v>0.40276000000000001</v>
      </c>
      <c r="G149" s="2">
        <v>762.31000000000006</v>
      </c>
    </row>
    <row r="150" spans="1:7" x14ac:dyDescent="0.25">
      <c r="A150" s="2">
        <v>1763.15</v>
      </c>
      <c r="B150" s="2">
        <v>4217.7700000000004</v>
      </c>
      <c r="C150" s="3">
        <v>1.6040200000000001E-2</v>
      </c>
      <c r="D150" s="4">
        <v>29.688040000000001</v>
      </c>
      <c r="E150" s="1">
        <v>53371600000</v>
      </c>
      <c r="F150" s="4">
        <v>0.40327000000000002</v>
      </c>
      <c r="G150" s="2">
        <v>765.02</v>
      </c>
    </row>
    <row r="151" spans="1:7" x14ac:dyDescent="0.25">
      <c r="A151" s="2">
        <v>1773.15</v>
      </c>
      <c r="B151" s="2">
        <v>4215.63</v>
      </c>
      <c r="C151" s="3">
        <v>1.6217599999999999E-2</v>
      </c>
      <c r="D151" s="4">
        <v>29.832000000000001</v>
      </c>
      <c r="E151" s="1">
        <v>52985610000</v>
      </c>
      <c r="F151" s="4">
        <v>0.40377999999999997</v>
      </c>
      <c r="G151" s="2">
        <v>767.75</v>
      </c>
    </row>
    <row r="152" spans="1:7" x14ac:dyDescent="0.25">
      <c r="A152" s="2">
        <v>1783.15</v>
      </c>
      <c r="B152" s="2">
        <v>4213.4799999999996</v>
      </c>
      <c r="C152" s="3">
        <v>1.6395799999999999E-2</v>
      </c>
      <c r="D152" s="4">
        <v>29.97598</v>
      </c>
      <c r="E152" s="1">
        <v>52599680000</v>
      </c>
      <c r="F152" s="4">
        <v>0.40429999999999999</v>
      </c>
      <c r="G152" s="2">
        <v>770.5</v>
      </c>
    </row>
    <row r="153" spans="1:7" x14ac:dyDescent="0.25">
      <c r="A153" s="2">
        <v>1793.15</v>
      </c>
      <c r="B153" s="2">
        <v>4211.32</v>
      </c>
      <c r="C153" s="3">
        <v>1.6574700000000001E-2</v>
      </c>
      <c r="D153" s="4">
        <v>30.12</v>
      </c>
      <c r="E153" s="1">
        <v>52213810000</v>
      </c>
      <c r="F153" s="4">
        <v>0.40481</v>
      </c>
      <c r="G153" s="2">
        <v>773.28</v>
      </c>
    </row>
    <row r="154" spans="1:7" x14ac:dyDescent="0.25">
      <c r="A154" s="2">
        <v>1803.15</v>
      </c>
      <c r="B154" s="2">
        <v>4209.16</v>
      </c>
      <c r="C154" s="3">
        <v>1.67543E-2</v>
      </c>
      <c r="D154" s="4">
        <v>30.264040000000001</v>
      </c>
      <c r="E154" s="1">
        <v>51828010000</v>
      </c>
      <c r="F154" s="4">
        <v>0.40533000000000002</v>
      </c>
      <c r="G154" s="2">
        <v>776.08999999999992</v>
      </c>
    </row>
    <row r="155" spans="1:7" x14ac:dyDescent="0.25">
      <c r="A155" s="2">
        <v>1813.15</v>
      </c>
      <c r="B155" s="2">
        <v>4207</v>
      </c>
      <c r="C155" s="3">
        <v>1.69347E-2</v>
      </c>
      <c r="D155" s="4">
        <v>30.40812</v>
      </c>
      <c r="E155" s="1">
        <v>51442270000</v>
      </c>
      <c r="F155" s="4">
        <v>0.40583999999999998</v>
      </c>
      <c r="G155" s="2">
        <v>778.91</v>
      </c>
    </row>
    <row r="156" spans="1:7" x14ac:dyDescent="0.25">
      <c r="A156" s="2">
        <v>1823.15</v>
      </c>
      <c r="B156" s="2">
        <v>4204.82</v>
      </c>
      <c r="C156" s="3">
        <v>1.71158E-2</v>
      </c>
      <c r="D156" s="4">
        <v>30.552219999999998</v>
      </c>
      <c r="E156" s="1">
        <v>51056600000</v>
      </c>
      <c r="F156" s="4">
        <v>0.40636</v>
      </c>
      <c r="G156" s="2">
        <v>781.77</v>
      </c>
    </row>
    <row r="157" spans="1:7" x14ac:dyDescent="0.25">
      <c r="A157" s="2">
        <v>1833.15</v>
      </c>
      <c r="B157" s="2">
        <v>4202.6399999999994</v>
      </c>
      <c r="C157" s="3">
        <v>1.7297699999999999E-2</v>
      </c>
      <c r="D157" s="4">
        <v>30.696359999999999</v>
      </c>
      <c r="E157" s="1">
        <v>50670990000</v>
      </c>
      <c r="F157" s="4">
        <v>0.40688000000000002</v>
      </c>
      <c r="G157" s="2">
        <v>784.65</v>
      </c>
    </row>
    <row r="158" spans="1:7" x14ac:dyDescent="0.25">
      <c r="A158" s="2">
        <v>1843.15</v>
      </c>
      <c r="B158" s="2">
        <v>4200.45</v>
      </c>
      <c r="C158" s="3">
        <v>1.7480200000000001E-2</v>
      </c>
      <c r="D158" s="4">
        <v>30.840530000000001</v>
      </c>
      <c r="E158" s="1">
        <v>50285450000</v>
      </c>
      <c r="F158" s="4">
        <v>0.40739999999999998</v>
      </c>
      <c r="G158" s="2">
        <v>787.55</v>
      </c>
    </row>
    <row r="159" spans="1:7" x14ac:dyDescent="0.25">
      <c r="A159" s="2">
        <v>1853.15</v>
      </c>
      <c r="B159" s="2">
        <v>4198.26</v>
      </c>
      <c r="C159" s="3">
        <v>1.7663499999999999E-2</v>
      </c>
      <c r="D159" s="4">
        <v>30.984729999999999</v>
      </c>
      <c r="E159" s="1">
        <v>49899980000</v>
      </c>
      <c r="F159" s="4">
        <v>0.40790999999999999</v>
      </c>
      <c r="G159" s="2">
        <v>790.47</v>
      </c>
    </row>
    <row r="160" spans="1:7" x14ac:dyDescent="0.25">
      <c r="A160" s="2">
        <v>1863.15</v>
      </c>
      <c r="B160" s="2">
        <v>4196.0600000000004</v>
      </c>
      <c r="C160" s="3">
        <v>1.7847600000000002E-2</v>
      </c>
      <c r="D160" s="4">
        <v>31.128959999999999</v>
      </c>
      <c r="E160" s="1">
        <v>49514570000</v>
      </c>
      <c r="F160" s="4">
        <v>0.40844000000000003</v>
      </c>
      <c r="G160" s="2">
        <v>793.42</v>
      </c>
    </row>
    <row r="161" spans="1:7" x14ac:dyDescent="0.25">
      <c r="A161" s="2">
        <v>1873.15</v>
      </c>
      <c r="B161" s="2">
        <v>4193.8500000000004</v>
      </c>
      <c r="C161" s="3">
        <v>1.8032300000000001E-2</v>
      </c>
      <c r="D161" s="4">
        <v>31.273230000000002</v>
      </c>
      <c r="E161" s="1">
        <v>49129230000</v>
      </c>
      <c r="F161" s="4">
        <v>0.40895999999999999</v>
      </c>
      <c r="G161" s="2">
        <v>796.39</v>
      </c>
    </row>
    <row r="162" spans="1:7" x14ac:dyDescent="0.25">
      <c r="A162" s="2">
        <v>1883.15</v>
      </c>
      <c r="B162" s="2">
        <v>4191.6399999999994</v>
      </c>
      <c r="C162" s="3">
        <v>1.8217899999999999E-2</v>
      </c>
      <c r="D162" s="4">
        <v>31.417529999999999</v>
      </c>
      <c r="E162" s="1">
        <v>48743960000</v>
      </c>
      <c r="F162" s="4">
        <v>0.40948000000000001</v>
      </c>
      <c r="G162" s="2">
        <v>799.38</v>
      </c>
    </row>
    <row r="163" spans="1:7" x14ac:dyDescent="0.25">
      <c r="A163" s="2">
        <v>1893.15</v>
      </c>
      <c r="B163" s="2">
        <v>4189.42</v>
      </c>
      <c r="C163" s="3">
        <v>1.84041E-2</v>
      </c>
      <c r="D163" s="4">
        <v>31.561869999999999</v>
      </c>
      <c r="E163" s="1">
        <v>48358760000</v>
      </c>
      <c r="F163" s="4">
        <v>0.41</v>
      </c>
      <c r="G163" s="2">
        <v>802.4</v>
      </c>
    </row>
    <row r="164" spans="1:7" x14ac:dyDescent="0.25">
      <c r="A164" s="2">
        <v>1903.15</v>
      </c>
      <c r="B164" s="2">
        <v>4187.1900000000014</v>
      </c>
      <c r="C164" s="3">
        <v>1.8591099999999999E-2</v>
      </c>
      <c r="D164" s="4">
        <v>31.706240000000001</v>
      </c>
      <c r="E164" s="1">
        <v>47973630000</v>
      </c>
      <c r="F164" s="4">
        <v>0.41053000000000001</v>
      </c>
      <c r="G164" s="2">
        <v>805.44</v>
      </c>
    </row>
    <row r="165" spans="1:7" x14ac:dyDescent="0.25">
      <c r="A165" s="2">
        <v>1913.15</v>
      </c>
      <c r="B165" s="2">
        <v>4184.96</v>
      </c>
      <c r="C165" s="3">
        <v>1.8778799999999998E-2</v>
      </c>
      <c r="D165" s="4">
        <v>31.850650000000002</v>
      </c>
      <c r="E165" s="1">
        <v>47588570000</v>
      </c>
      <c r="F165" s="4">
        <v>0.41105000000000003</v>
      </c>
      <c r="G165" s="2">
        <v>808.5</v>
      </c>
    </row>
    <row r="166" spans="1:7" x14ac:dyDescent="0.25">
      <c r="A166" s="2">
        <v>1923.15</v>
      </c>
      <c r="B166" s="2">
        <v>4182.7199999999993</v>
      </c>
      <c r="C166" s="3">
        <v>1.8967299999999999E-2</v>
      </c>
      <c r="D166" s="4">
        <v>31.995090000000001</v>
      </c>
      <c r="E166" s="1">
        <v>47203580000</v>
      </c>
      <c r="F166" s="4">
        <v>0.41158</v>
      </c>
      <c r="G166" s="2">
        <v>811.57999999999993</v>
      </c>
    </row>
    <row r="167" spans="1:7" x14ac:dyDescent="0.25">
      <c r="A167" s="2">
        <v>1933.15</v>
      </c>
      <c r="B167" s="2">
        <v>4180.4799999999996</v>
      </c>
      <c r="C167" s="3">
        <v>1.91565E-2</v>
      </c>
      <c r="D167" s="4">
        <v>32.139569999999999</v>
      </c>
      <c r="E167" s="1">
        <v>46818660000</v>
      </c>
      <c r="F167" s="4">
        <v>0.41210000000000002</v>
      </c>
      <c r="G167" s="2">
        <v>814.68</v>
      </c>
    </row>
    <row r="168" spans="1:7" x14ac:dyDescent="0.25">
      <c r="A168" s="2">
        <v>1943.15</v>
      </c>
      <c r="B168" s="2">
        <v>4178.2299999999996</v>
      </c>
      <c r="C168" s="3">
        <v>1.93464E-2</v>
      </c>
      <c r="D168" s="4">
        <v>32.284089999999999</v>
      </c>
      <c r="E168" s="1">
        <v>46433820000</v>
      </c>
      <c r="F168" s="4">
        <v>0.41263</v>
      </c>
      <c r="G168" s="2">
        <v>818.59</v>
      </c>
    </row>
    <row r="169" spans="1:7" x14ac:dyDescent="0.25">
      <c r="A169" s="2">
        <v>1953.15</v>
      </c>
      <c r="B169" s="2">
        <v>4175.97</v>
      </c>
      <c r="C169" s="3">
        <v>1.9537100000000002E-2</v>
      </c>
      <c r="D169" s="4">
        <v>32.428649999999998</v>
      </c>
      <c r="E169" s="1">
        <v>46049050000</v>
      </c>
      <c r="F169" s="4">
        <v>0.41316000000000003</v>
      </c>
      <c r="G169" s="2">
        <v>825.23</v>
      </c>
    </row>
    <row r="170" spans="1:7" x14ac:dyDescent="0.25">
      <c r="A170" s="2">
        <v>1963.15</v>
      </c>
      <c r="B170" s="2">
        <v>4173.71</v>
      </c>
      <c r="C170" s="3">
        <v>1.97285E-2</v>
      </c>
      <c r="D170" s="4">
        <v>32.573250000000002</v>
      </c>
      <c r="E170" s="1">
        <v>45664350000</v>
      </c>
      <c r="F170" s="4">
        <v>0.41369</v>
      </c>
      <c r="G170" s="2">
        <v>831.57</v>
      </c>
    </row>
    <row r="171" spans="1:7" x14ac:dyDescent="0.25">
      <c r="A171" s="2">
        <v>1969.98</v>
      </c>
      <c r="B171" s="2">
        <v>4172.16</v>
      </c>
      <c r="C171" s="3">
        <v>1.9859600000000002E-2</v>
      </c>
      <c r="D171" s="4">
        <v>32.672029999999999</v>
      </c>
      <c r="E171" s="1">
        <v>45401640000</v>
      </c>
      <c r="F171" s="4">
        <v>0.41404999999999997</v>
      </c>
      <c r="G171" s="2" t="s">
        <v>7</v>
      </c>
    </row>
    <row r="172" spans="1:7" x14ac:dyDescent="0.25">
      <c r="A172" s="2">
        <v>1973.15</v>
      </c>
      <c r="B172" s="2">
        <v>4132.1099999999997</v>
      </c>
      <c r="C172" s="3">
        <v>2.3282899999999999E-2</v>
      </c>
      <c r="D172" s="4">
        <v>32.315480000000001</v>
      </c>
      <c r="E172" s="1">
        <v>14117670000</v>
      </c>
      <c r="F172" s="4">
        <v>0.43573000000000001</v>
      </c>
      <c r="G172" s="2">
        <v>33478.65</v>
      </c>
    </row>
    <row r="173" spans="1:7" x14ac:dyDescent="0.25">
      <c r="A173" s="2">
        <v>1983.15</v>
      </c>
      <c r="B173" s="2">
        <v>4018.099999999999</v>
      </c>
      <c r="C173" s="3">
        <v>3.3401100000000003E-2</v>
      </c>
      <c r="D173" s="4">
        <v>31.4938</v>
      </c>
      <c r="E173" s="1">
        <v>307612</v>
      </c>
      <c r="F173" s="4">
        <v>0.49314000000000002</v>
      </c>
      <c r="G173" s="2">
        <v>9219.9699999999993</v>
      </c>
    </row>
    <row r="174" spans="1:7" x14ac:dyDescent="0.25">
      <c r="A174" s="2">
        <v>1986.6</v>
      </c>
      <c r="B174" s="2">
        <v>4008.45</v>
      </c>
      <c r="C174" s="3">
        <v>3.4283800000000003E-2</v>
      </c>
      <c r="D174" s="4">
        <v>31.48978</v>
      </c>
      <c r="E174" s="1">
        <v>0</v>
      </c>
      <c r="F174" s="4">
        <v>0.49720999999999999</v>
      </c>
      <c r="G174" s="2" t="s">
        <v>7</v>
      </c>
    </row>
    <row r="175" spans="1:7" x14ac:dyDescent="0.25">
      <c r="A175" s="2">
        <v>1993.15</v>
      </c>
      <c r="B175" s="2">
        <v>4006.5</v>
      </c>
      <c r="C175" s="3">
        <v>3.4463300000000002E-2</v>
      </c>
      <c r="D175" s="4">
        <v>31.593990000000002</v>
      </c>
      <c r="E175" s="1">
        <v>0</v>
      </c>
      <c r="F175" s="4">
        <v>0.49720999999999999</v>
      </c>
      <c r="G175" s="2">
        <v>976.19999999999993</v>
      </c>
    </row>
    <row r="176" spans="1:7" x14ac:dyDescent="0.25">
      <c r="A176" s="2">
        <v>2003.15</v>
      </c>
      <c r="B176" s="2">
        <v>4003.5</v>
      </c>
      <c r="C176" s="3">
        <v>3.47383E-2</v>
      </c>
      <c r="D176" s="4">
        <v>31.753160000000001</v>
      </c>
      <c r="E176" s="1">
        <v>0</v>
      </c>
      <c r="F176" s="4">
        <v>0.49720999999999999</v>
      </c>
      <c r="G176" s="2">
        <v>976.36</v>
      </c>
    </row>
    <row r="177" spans="1:7" x14ac:dyDescent="0.25">
      <c r="A177" s="2">
        <v>2013.15</v>
      </c>
      <c r="B177" s="2">
        <v>4000.5</v>
      </c>
      <c r="C177" s="3">
        <v>3.5014299999999998E-2</v>
      </c>
      <c r="D177" s="4">
        <v>31.912330000000001</v>
      </c>
      <c r="E177" s="1">
        <v>0</v>
      </c>
      <c r="F177" s="4">
        <v>0.49720999999999999</v>
      </c>
      <c r="G177" s="2">
        <v>976.53</v>
      </c>
    </row>
    <row r="178" spans="1:7" x14ac:dyDescent="0.25">
      <c r="A178" s="2">
        <v>2023.15</v>
      </c>
      <c r="B178" s="2">
        <v>3997.5</v>
      </c>
      <c r="C178" s="3">
        <v>3.5291500000000003E-2</v>
      </c>
      <c r="D178" s="4">
        <v>32.0715</v>
      </c>
      <c r="E178" s="1">
        <v>0</v>
      </c>
      <c r="F178" s="4">
        <v>0.49720999999999999</v>
      </c>
      <c r="G178" s="2">
        <v>976.7</v>
      </c>
    </row>
    <row r="179" spans="1:7" x14ac:dyDescent="0.25">
      <c r="A179" s="2">
        <v>2033.15</v>
      </c>
      <c r="B179" s="2">
        <v>3994.48</v>
      </c>
      <c r="C179" s="3">
        <v>3.5569700000000003E-2</v>
      </c>
      <c r="D179" s="4">
        <v>32.230670000000003</v>
      </c>
      <c r="E179" s="1">
        <v>0</v>
      </c>
      <c r="F179" s="4">
        <v>0.49720999999999999</v>
      </c>
      <c r="G179" s="2">
        <v>976.87</v>
      </c>
    </row>
    <row r="180" spans="1:7" x14ac:dyDescent="0.25">
      <c r="A180" s="2">
        <v>2043.15</v>
      </c>
      <c r="B180" s="2">
        <v>3991.46</v>
      </c>
      <c r="C180" s="3">
        <v>3.5848900000000003E-2</v>
      </c>
      <c r="D180" s="4">
        <v>32.38984</v>
      </c>
      <c r="E180" s="1">
        <v>0</v>
      </c>
      <c r="F180" s="4">
        <v>0.49720999999999999</v>
      </c>
      <c r="G180" s="2">
        <v>977.03</v>
      </c>
    </row>
    <row r="181" spans="1:7" x14ac:dyDescent="0.25">
      <c r="A181" s="2">
        <v>2053.15</v>
      </c>
      <c r="B181" s="2">
        <v>3988.43</v>
      </c>
      <c r="C181" s="3">
        <v>3.6129300000000003E-2</v>
      </c>
      <c r="D181" s="4">
        <v>32.549010000000003</v>
      </c>
      <c r="E181" s="1">
        <v>0</v>
      </c>
      <c r="F181" s="4">
        <v>0.49720999999999999</v>
      </c>
      <c r="G181" s="2">
        <v>977.18000000000006</v>
      </c>
    </row>
    <row r="182" spans="1:7" x14ac:dyDescent="0.25">
      <c r="A182" s="2">
        <v>2063.15</v>
      </c>
      <c r="B182" s="2">
        <v>3985.4</v>
      </c>
      <c r="C182" s="3">
        <v>3.6410699999999997E-2</v>
      </c>
      <c r="D182" s="4">
        <v>32.708179999999999</v>
      </c>
      <c r="E182" s="1">
        <v>0</v>
      </c>
      <c r="F182" s="4">
        <v>0.49720999999999999</v>
      </c>
      <c r="G182" s="2">
        <v>977.3</v>
      </c>
    </row>
    <row r="183" spans="1:7" x14ac:dyDescent="0.25">
      <c r="A183" s="2">
        <v>2073.15</v>
      </c>
      <c r="B183" s="2">
        <v>3982.35</v>
      </c>
      <c r="C183" s="3">
        <v>3.6693099999999999E-2</v>
      </c>
      <c r="D183" s="4">
        <v>32.867339999999999</v>
      </c>
      <c r="E183" s="1">
        <v>0</v>
      </c>
      <c r="F183" s="4">
        <v>0.49720999999999999</v>
      </c>
      <c r="G183" s="2">
        <v>977.33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D581B-B0C6-4665-A929-DFD6D931C220}">
  <dimension ref="A1:L100"/>
  <sheetViews>
    <sheetView zoomScaleNormal="100" workbookViewId="0">
      <selection activeCell="V3" sqref="V3"/>
    </sheetView>
  </sheetViews>
  <sheetFormatPr defaultRowHeight="15" x14ac:dyDescent="0.25"/>
  <cols>
    <col min="1" max="1" width="15.28515625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12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J1" t="s">
        <v>15</v>
      </c>
      <c r="L1" t="s">
        <v>16</v>
      </c>
    </row>
    <row r="2" spans="1:12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  <c r="J2">
        <f>4459.647099-0.132016*A2</f>
        <v>4420.2865285999997</v>
      </c>
      <c r="L2" s="1">
        <f>0.0000031*A2 + 0.000005</f>
        <v>9.2926499999999997E-4</v>
      </c>
    </row>
    <row r="3" spans="1:12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  <c r="J3">
        <f t="shared" ref="J3:J66" si="0">4459.647099-0.132016*A3</f>
        <v>4419.6264486</v>
      </c>
      <c r="L3" s="1">
        <f t="shared" ref="L3:L66" si="1">0.0000031*A3 + 0.000005</f>
        <v>9.4476499999999997E-4</v>
      </c>
    </row>
    <row r="4" spans="1:12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  <c r="J4">
        <f t="shared" si="0"/>
        <v>4418.3062885999998</v>
      </c>
      <c r="L4" s="1">
        <f t="shared" si="1"/>
        <v>9.7576499999999997E-4</v>
      </c>
    </row>
    <row r="5" spans="1:12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  <c r="J5">
        <f t="shared" si="0"/>
        <v>4416.9861285999996</v>
      </c>
      <c r="L5" s="1">
        <f t="shared" si="1"/>
        <v>1.006765E-3</v>
      </c>
    </row>
    <row r="6" spans="1:12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  <c r="J6">
        <f t="shared" si="0"/>
        <v>4415.6659685999994</v>
      </c>
      <c r="L6" s="1">
        <f t="shared" si="1"/>
        <v>1.037765E-3</v>
      </c>
    </row>
    <row r="7" spans="1:12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  <c r="J7">
        <f t="shared" si="0"/>
        <v>4414.3458086000001</v>
      </c>
      <c r="L7" s="1">
        <f t="shared" si="1"/>
        <v>1.0687649999999999E-3</v>
      </c>
    </row>
    <row r="8" spans="1:12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  <c r="J8">
        <f t="shared" si="0"/>
        <v>4413.0256485999998</v>
      </c>
      <c r="L8" s="1">
        <f t="shared" si="1"/>
        <v>1.0997649999999999E-3</v>
      </c>
    </row>
    <row r="9" spans="1:12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  <c r="J9">
        <f t="shared" si="0"/>
        <v>4411.7054885999996</v>
      </c>
      <c r="L9" s="1">
        <f t="shared" si="1"/>
        <v>1.1307649999999999E-3</v>
      </c>
    </row>
    <row r="10" spans="1:12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  <c r="J10">
        <f t="shared" si="0"/>
        <v>4410.3853285999994</v>
      </c>
      <c r="L10" s="1">
        <f t="shared" si="1"/>
        <v>1.1617649999999999E-3</v>
      </c>
    </row>
    <row r="11" spans="1:12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  <c r="J11">
        <f t="shared" si="0"/>
        <v>4409.0651686000001</v>
      </c>
      <c r="L11" s="1">
        <f t="shared" si="1"/>
        <v>1.1927649999999999E-3</v>
      </c>
    </row>
    <row r="12" spans="1:12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  <c r="J12">
        <f t="shared" si="0"/>
        <v>4407.7450085999999</v>
      </c>
      <c r="L12" s="1">
        <f t="shared" si="1"/>
        <v>1.2237649999999999E-3</v>
      </c>
    </row>
    <row r="13" spans="1:12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  <c r="J13">
        <f t="shared" si="0"/>
        <v>4406.4248485999997</v>
      </c>
      <c r="L13" s="1">
        <f t="shared" si="1"/>
        <v>1.2547649999999999E-3</v>
      </c>
    </row>
    <row r="14" spans="1:12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  <c r="J14">
        <f t="shared" si="0"/>
        <v>4405.1046885999995</v>
      </c>
      <c r="L14" s="1">
        <f t="shared" si="1"/>
        <v>1.2857649999999999E-3</v>
      </c>
    </row>
    <row r="15" spans="1:12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  <c r="J15">
        <f t="shared" si="0"/>
        <v>4403.7845286000002</v>
      </c>
      <c r="L15" s="1">
        <f t="shared" si="1"/>
        <v>1.3167649999999999E-3</v>
      </c>
    </row>
    <row r="16" spans="1:12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  <c r="J16">
        <f t="shared" si="0"/>
        <v>4402.4643685999999</v>
      </c>
      <c r="L16" s="1">
        <f t="shared" si="1"/>
        <v>1.3477649999999999E-3</v>
      </c>
    </row>
    <row r="17" spans="1:12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  <c r="J17">
        <f t="shared" si="0"/>
        <v>4401.1442085999997</v>
      </c>
      <c r="L17" s="1">
        <f t="shared" si="1"/>
        <v>1.3787649999999999E-3</v>
      </c>
    </row>
    <row r="18" spans="1:12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  <c r="J18">
        <f t="shared" si="0"/>
        <v>4399.8240485999995</v>
      </c>
      <c r="L18" s="1">
        <f t="shared" si="1"/>
        <v>1.4097649999999999E-3</v>
      </c>
    </row>
    <row r="19" spans="1:12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  <c r="J19">
        <f t="shared" si="0"/>
        <v>4398.5038886000002</v>
      </c>
      <c r="L19" s="1">
        <f t="shared" si="1"/>
        <v>1.4407649999999999E-3</v>
      </c>
    </row>
    <row r="20" spans="1:12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  <c r="J20">
        <f t="shared" si="0"/>
        <v>4397.1837286</v>
      </c>
      <c r="L20" s="1">
        <f t="shared" si="1"/>
        <v>1.4717649999999999E-3</v>
      </c>
    </row>
    <row r="21" spans="1:12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  <c r="J21">
        <f t="shared" si="0"/>
        <v>4395.8635685999998</v>
      </c>
      <c r="L21" s="1">
        <f t="shared" si="1"/>
        <v>1.5027649999999999E-3</v>
      </c>
    </row>
    <row r="22" spans="1:12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  <c r="J22">
        <f t="shared" si="0"/>
        <v>4394.5434085999996</v>
      </c>
      <c r="L22" s="1">
        <f t="shared" si="1"/>
        <v>1.5337649999999999E-3</v>
      </c>
    </row>
    <row r="23" spans="1:12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  <c r="J23">
        <f t="shared" si="0"/>
        <v>4393.2232485999994</v>
      </c>
      <c r="L23" s="1">
        <f t="shared" si="1"/>
        <v>1.5647649999999999E-3</v>
      </c>
    </row>
    <row r="24" spans="1:12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  <c r="J24">
        <f t="shared" si="0"/>
        <v>4391.9030886</v>
      </c>
      <c r="L24" s="1">
        <f t="shared" si="1"/>
        <v>1.5957649999999999E-3</v>
      </c>
    </row>
    <row r="25" spans="1:12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  <c r="J25">
        <f t="shared" si="0"/>
        <v>4390.5829285999998</v>
      </c>
      <c r="L25" s="1">
        <f t="shared" si="1"/>
        <v>1.6267649999999999E-3</v>
      </c>
    </row>
    <row r="26" spans="1:12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  <c r="J26">
        <f t="shared" si="0"/>
        <v>4389.2627685999996</v>
      </c>
      <c r="L26" s="1">
        <f t="shared" si="1"/>
        <v>1.6577649999999998E-3</v>
      </c>
    </row>
    <row r="27" spans="1:12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  <c r="J27">
        <f t="shared" si="0"/>
        <v>4387.9426085999994</v>
      </c>
      <c r="L27" s="1">
        <f t="shared" si="1"/>
        <v>1.6887649999999998E-3</v>
      </c>
    </row>
    <row r="28" spans="1:12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  <c r="J28">
        <f t="shared" si="0"/>
        <v>4386.6224486000001</v>
      </c>
      <c r="L28" s="1">
        <f t="shared" si="1"/>
        <v>1.7197649999999998E-3</v>
      </c>
    </row>
    <row r="29" spans="1:12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  <c r="J29">
        <f t="shared" si="0"/>
        <v>4385.3022885999999</v>
      </c>
      <c r="L29" s="1">
        <f t="shared" si="1"/>
        <v>1.7507649999999998E-3</v>
      </c>
    </row>
    <row r="30" spans="1:12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  <c r="J30">
        <f t="shared" si="0"/>
        <v>4383.9821285999997</v>
      </c>
      <c r="L30" s="1">
        <f t="shared" si="1"/>
        <v>1.7817649999999998E-3</v>
      </c>
    </row>
    <row r="31" spans="1:12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  <c r="J31">
        <f t="shared" si="0"/>
        <v>4382.6619685999995</v>
      </c>
      <c r="L31" s="1">
        <f t="shared" si="1"/>
        <v>1.8127649999999998E-3</v>
      </c>
    </row>
    <row r="32" spans="1:12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  <c r="J32">
        <f t="shared" si="0"/>
        <v>4381.3418086000001</v>
      </c>
      <c r="L32" s="1">
        <f t="shared" si="1"/>
        <v>1.843765E-3</v>
      </c>
    </row>
    <row r="33" spans="1:12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  <c r="J33">
        <f t="shared" si="0"/>
        <v>4380.0216485999999</v>
      </c>
      <c r="L33" s="1">
        <f t="shared" si="1"/>
        <v>1.874765E-3</v>
      </c>
    </row>
    <row r="34" spans="1:12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  <c r="J34">
        <f t="shared" si="0"/>
        <v>4378.7014885999997</v>
      </c>
      <c r="L34" s="1">
        <f t="shared" si="1"/>
        <v>1.905765E-3</v>
      </c>
    </row>
    <row r="35" spans="1:12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  <c r="J35">
        <f t="shared" si="0"/>
        <v>4377.3813285999995</v>
      </c>
      <c r="L35" s="1">
        <f t="shared" si="1"/>
        <v>1.936765E-3</v>
      </c>
    </row>
    <row r="36" spans="1:12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  <c r="J36">
        <f t="shared" si="0"/>
        <v>4376.0611686000002</v>
      </c>
      <c r="L36" s="1">
        <f t="shared" si="1"/>
        <v>1.9677649999999998E-3</v>
      </c>
    </row>
    <row r="37" spans="1:12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  <c r="J37">
        <f t="shared" si="0"/>
        <v>4374.7410086</v>
      </c>
      <c r="L37" s="1">
        <f t="shared" si="1"/>
        <v>1.9987649999999996E-3</v>
      </c>
    </row>
    <row r="38" spans="1:12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  <c r="J38">
        <f t="shared" si="0"/>
        <v>4373.4208485999998</v>
      </c>
      <c r="L38" s="1">
        <f t="shared" si="1"/>
        <v>2.0297649999999998E-3</v>
      </c>
    </row>
    <row r="39" spans="1:12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  <c r="J39">
        <f t="shared" si="0"/>
        <v>4372.1006885999996</v>
      </c>
      <c r="L39" s="1">
        <f t="shared" si="1"/>
        <v>2.0607649999999996E-3</v>
      </c>
    </row>
    <row r="40" spans="1:12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  <c r="J40">
        <f t="shared" si="0"/>
        <v>4370.7805286000003</v>
      </c>
      <c r="L40" s="1">
        <f t="shared" si="1"/>
        <v>2.0917649999999998E-3</v>
      </c>
    </row>
    <row r="41" spans="1:12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  <c r="J41">
        <f t="shared" si="0"/>
        <v>4369.4603686</v>
      </c>
      <c r="L41" s="1">
        <f t="shared" si="1"/>
        <v>2.1227649999999995E-3</v>
      </c>
    </row>
    <row r="42" spans="1:12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  <c r="J42">
        <f t="shared" si="0"/>
        <v>4368.1402085999998</v>
      </c>
      <c r="L42" s="1">
        <f t="shared" si="1"/>
        <v>2.1537649999999998E-3</v>
      </c>
    </row>
    <row r="43" spans="1:12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  <c r="J43">
        <f t="shared" si="0"/>
        <v>4366.8200485999996</v>
      </c>
      <c r="L43" s="1">
        <f t="shared" si="1"/>
        <v>2.1847649999999995E-3</v>
      </c>
    </row>
    <row r="44" spans="1:12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  <c r="J44">
        <f t="shared" si="0"/>
        <v>4365.4998885999994</v>
      </c>
      <c r="L44" s="1">
        <f t="shared" si="1"/>
        <v>2.2157649999999997E-3</v>
      </c>
    </row>
    <row r="45" spans="1:12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  <c r="J45">
        <f t="shared" si="0"/>
        <v>4364.1797286000001</v>
      </c>
      <c r="L45" s="1">
        <f t="shared" si="1"/>
        <v>2.2467649999999995E-3</v>
      </c>
    </row>
    <row r="46" spans="1:12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  <c r="J46">
        <f t="shared" si="0"/>
        <v>4362.8595685999999</v>
      </c>
      <c r="L46" s="1">
        <f t="shared" si="1"/>
        <v>2.2777649999999997E-3</v>
      </c>
    </row>
    <row r="47" spans="1:12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  <c r="J47">
        <f t="shared" si="0"/>
        <v>4361.5394085999997</v>
      </c>
      <c r="L47" s="1">
        <f t="shared" si="1"/>
        <v>2.3087649999999995E-3</v>
      </c>
    </row>
    <row r="48" spans="1:12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  <c r="J48">
        <f t="shared" si="0"/>
        <v>4360.2192485999994</v>
      </c>
      <c r="L48" s="1">
        <f t="shared" si="1"/>
        <v>2.3397649999999997E-3</v>
      </c>
    </row>
    <row r="49" spans="1:12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  <c r="J49">
        <f t="shared" si="0"/>
        <v>4358.8990886000001</v>
      </c>
      <c r="L49" s="1">
        <f t="shared" si="1"/>
        <v>2.3707649999999995E-3</v>
      </c>
    </row>
    <row r="50" spans="1:12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  <c r="J50">
        <f t="shared" si="0"/>
        <v>4357.5789285999999</v>
      </c>
      <c r="L50" s="1">
        <f t="shared" si="1"/>
        <v>2.4017649999999997E-3</v>
      </c>
    </row>
    <row r="51" spans="1:12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  <c r="J51">
        <f t="shared" si="0"/>
        <v>4356.2587685999997</v>
      </c>
      <c r="L51" s="1">
        <f t="shared" si="1"/>
        <v>2.4327649999999995E-3</v>
      </c>
    </row>
    <row r="52" spans="1:12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  <c r="J52">
        <f t="shared" si="0"/>
        <v>4354.9386085999995</v>
      </c>
      <c r="L52" s="1">
        <f t="shared" si="1"/>
        <v>2.4637649999999997E-3</v>
      </c>
    </row>
    <row r="53" spans="1:12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  <c r="J53">
        <f t="shared" si="0"/>
        <v>4353.6184486000002</v>
      </c>
      <c r="L53" s="1">
        <f t="shared" si="1"/>
        <v>2.4947649999999995E-3</v>
      </c>
    </row>
    <row r="54" spans="1:12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  <c r="J54">
        <f t="shared" si="0"/>
        <v>4352.2982886</v>
      </c>
      <c r="L54" s="1">
        <f t="shared" si="1"/>
        <v>2.5257649999999997E-3</v>
      </c>
    </row>
    <row r="55" spans="1:12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  <c r="J55">
        <f t="shared" si="0"/>
        <v>4350.9781285999998</v>
      </c>
      <c r="L55" s="1">
        <f t="shared" si="1"/>
        <v>2.5567649999999999E-3</v>
      </c>
    </row>
    <row r="56" spans="1:12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  <c r="J56">
        <f t="shared" si="0"/>
        <v>4349.6579685999995</v>
      </c>
      <c r="L56" s="1">
        <f t="shared" si="1"/>
        <v>2.5877649999999997E-3</v>
      </c>
    </row>
    <row r="57" spans="1:12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  <c r="J57">
        <f t="shared" si="0"/>
        <v>4348.3378086000002</v>
      </c>
      <c r="L57" s="1">
        <f t="shared" si="1"/>
        <v>2.6187649999999999E-3</v>
      </c>
    </row>
    <row r="58" spans="1:12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  <c r="J58">
        <f t="shared" si="0"/>
        <v>4347.0176486</v>
      </c>
      <c r="L58" s="1">
        <f t="shared" si="1"/>
        <v>2.6497649999999997E-3</v>
      </c>
    </row>
    <row r="59" spans="1:12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  <c r="J59">
        <f t="shared" si="0"/>
        <v>4345.6974885999998</v>
      </c>
      <c r="L59" s="1">
        <f t="shared" si="1"/>
        <v>2.6807649999999999E-3</v>
      </c>
    </row>
    <row r="60" spans="1:12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  <c r="J60">
        <f t="shared" si="0"/>
        <v>4344.3773285999996</v>
      </c>
      <c r="L60" s="1">
        <f t="shared" si="1"/>
        <v>2.7117649999999997E-3</v>
      </c>
    </row>
    <row r="61" spans="1:12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  <c r="J61">
        <f t="shared" si="0"/>
        <v>4343.0571685999994</v>
      </c>
      <c r="L61" s="1">
        <f t="shared" si="1"/>
        <v>2.7427649999999999E-3</v>
      </c>
    </row>
    <row r="62" spans="1:12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  <c r="J62">
        <f t="shared" si="0"/>
        <v>4341.7370086000001</v>
      </c>
      <c r="L62" s="1">
        <f t="shared" si="1"/>
        <v>2.7737649999999997E-3</v>
      </c>
    </row>
    <row r="63" spans="1:12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  <c r="J63">
        <f t="shared" si="0"/>
        <v>4340.4168485999999</v>
      </c>
      <c r="L63" s="1">
        <f t="shared" si="1"/>
        <v>2.8047649999999999E-3</v>
      </c>
    </row>
    <row r="64" spans="1:12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  <c r="J64">
        <f t="shared" si="0"/>
        <v>4339.0966885999997</v>
      </c>
      <c r="L64" s="1">
        <f t="shared" si="1"/>
        <v>2.8357649999999996E-3</v>
      </c>
    </row>
    <row r="65" spans="1:12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  <c r="J65">
        <f t="shared" si="0"/>
        <v>4337.7765285999994</v>
      </c>
      <c r="L65" s="1">
        <f t="shared" si="1"/>
        <v>2.8667649999999999E-3</v>
      </c>
    </row>
    <row r="66" spans="1:12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  <c r="J66">
        <f t="shared" si="0"/>
        <v>4336.4563686000001</v>
      </c>
      <c r="L66" s="1">
        <f t="shared" si="1"/>
        <v>2.8977649999999996E-3</v>
      </c>
    </row>
    <row r="67" spans="1:12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  <c r="J67">
        <f t="shared" ref="J67:J100" si="2">4459.647099-0.132016*A67</f>
        <v>4335.1362085999999</v>
      </c>
      <c r="L67" s="1">
        <f t="shared" ref="L67:L100" si="3">0.0000031*A67 + 0.000005</f>
        <v>2.9287649999999998E-3</v>
      </c>
    </row>
    <row r="68" spans="1:12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  <c r="J68">
        <f t="shared" si="2"/>
        <v>4333.8160485999997</v>
      </c>
      <c r="L68" s="1">
        <f t="shared" si="3"/>
        <v>2.9597649999999996E-3</v>
      </c>
    </row>
    <row r="69" spans="1:12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  <c r="J69">
        <f t="shared" si="2"/>
        <v>4332.4958885999995</v>
      </c>
      <c r="L69" s="1">
        <f t="shared" si="3"/>
        <v>2.9907649999999998E-3</v>
      </c>
    </row>
    <row r="70" spans="1:12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  <c r="J70">
        <f t="shared" si="2"/>
        <v>4331.1757286000002</v>
      </c>
      <c r="L70" s="1">
        <f t="shared" si="3"/>
        <v>3.0217649999999996E-3</v>
      </c>
    </row>
    <row r="71" spans="1:12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  <c r="J71">
        <f t="shared" si="2"/>
        <v>4329.8555686</v>
      </c>
      <c r="L71" s="1">
        <f t="shared" si="3"/>
        <v>3.0527649999999998E-3</v>
      </c>
    </row>
    <row r="72" spans="1:12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  <c r="J72">
        <f t="shared" si="2"/>
        <v>4328.5354085999998</v>
      </c>
      <c r="L72" s="1">
        <f t="shared" si="3"/>
        <v>3.0837649999999996E-3</v>
      </c>
    </row>
    <row r="73" spans="1:12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  <c r="J73">
        <f t="shared" si="2"/>
        <v>4327.2152485999995</v>
      </c>
      <c r="L73" s="1">
        <f t="shared" si="3"/>
        <v>3.1147649999999998E-3</v>
      </c>
    </row>
    <row r="74" spans="1:12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  <c r="J74">
        <f t="shared" si="2"/>
        <v>4325.8950886000002</v>
      </c>
      <c r="L74" s="1">
        <f t="shared" si="3"/>
        <v>3.1457649999999996E-3</v>
      </c>
    </row>
    <row r="75" spans="1:12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  <c r="J75">
        <f t="shared" si="2"/>
        <v>4324.5749286</v>
      </c>
      <c r="L75" s="1">
        <f t="shared" si="3"/>
        <v>3.1767649999999998E-3</v>
      </c>
    </row>
    <row r="76" spans="1:12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  <c r="J76">
        <f t="shared" si="2"/>
        <v>4323.2547685999998</v>
      </c>
      <c r="L76" s="1">
        <f t="shared" si="3"/>
        <v>3.207765E-3</v>
      </c>
    </row>
    <row r="77" spans="1:12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  <c r="J77">
        <f t="shared" si="2"/>
        <v>4321.9346085999996</v>
      </c>
      <c r="L77" s="1">
        <f t="shared" si="3"/>
        <v>3.2387650000000002E-3</v>
      </c>
    </row>
    <row r="78" spans="1:12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  <c r="J78">
        <f t="shared" si="2"/>
        <v>4320.6144485999994</v>
      </c>
      <c r="L78" s="1">
        <f t="shared" si="3"/>
        <v>3.269765E-3</v>
      </c>
    </row>
    <row r="79" spans="1:12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  <c r="J79">
        <f t="shared" si="2"/>
        <v>4319.2942886000001</v>
      </c>
      <c r="L79" s="1">
        <f t="shared" si="3"/>
        <v>3.3007650000000002E-3</v>
      </c>
    </row>
    <row r="80" spans="1:12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  <c r="J80">
        <f t="shared" si="2"/>
        <v>4317.9741285999999</v>
      </c>
      <c r="L80" s="1">
        <f t="shared" si="3"/>
        <v>3.331765E-3</v>
      </c>
    </row>
    <row r="81" spans="1:12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  <c r="J81">
        <f t="shared" si="2"/>
        <v>4316.6539685999996</v>
      </c>
      <c r="L81" s="1">
        <f t="shared" si="3"/>
        <v>3.3627650000000002E-3</v>
      </c>
    </row>
    <row r="82" spans="1:12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  <c r="J82">
        <f t="shared" si="2"/>
        <v>4315.3338085999994</v>
      </c>
      <c r="L82" s="1">
        <f t="shared" si="3"/>
        <v>3.393765E-3</v>
      </c>
    </row>
    <row r="83" spans="1:12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  <c r="J83">
        <f t="shared" si="2"/>
        <v>4314.0136486000001</v>
      </c>
      <c r="L83" s="1">
        <f t="shared" si="3"/>
        <v>3.4247650000000002E-3</v>
      </c>
    </row>
    <row r="84" spans="1:12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  <c r="J84">
        <f t="shared" si="2"/>
        <v>4312.6934885999999</v>
      </c>
      <c r="L84" s="1">
        <f t="shared" si="3"/>
        <v>3.455765E-3</v>
      </c>
    </row>
    <row r="85" spans="1:12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  <c r="J85">
        <f t="shared" si="2"/>
        <v>4311.3733285999997</v>
      </c>
      <c r="L85" s="1">
        <f t="shared" si="3"/>
        <v>3.4867650000000002E-3</v>
      </c>
    </row>
    <row r="86" spans="1:12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  <c r="J86">
        <f t="shared" si="2"/>
        <v>4310.0531685999995</v>
      </c>
      <c r="L86" s="1">
        <f t="shared" si="3"/>
        <v>3.517765E-3</v>
      </c>
    </row>
    <row r="87" spans="1:12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  <c r="J87">
        <f t="shared" si="2"/>
        <v>4308.7330086000002</v>
      </c>
      <c r="L87" s="1">
        <f t="shared" si="3"/>
        <v>3.5487650000000002E-3</v>
      </c>
    </row>
    <row r="88" spans="1:12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  <c r="J88">
        <f t="shared" si="2"/>
        <v>4307.4128486</v>
      </c>
      <c r="L88" s="1">
        <f t="shared" si="3"/>
        <v>3.5797649999999999E-3</v>
      </c>
    </row>
    <row r="89" spans="1:12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  <c r="J89">
        <f t="shared" si="2"/>
        <v>4306.0926885999997</v>
      </c>
      <c r="L89" s="1">
        <f t="shared" si="3"/>
        <v>3.6107650000000002E-3</v>
      </c>
    </row>
    <row r="90" spans="1:12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  <c r="J90">
        <f t="shared" si="2"/>
        <v>4304.7725285999995</v>
      </c>
      <c r="L90" s="1">
        <f t="shared" si="3"/>
        <v>3.6417649999999999E-3</v>
      </c>
    </row>
    <row r="91" spans="1:12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  <c r="J91">
        <f t="shared" si="2"/>
        <v>4303.4523686000002</v>
      </c>
      <c r="L91" s="1">
        <f t="shared" si="3"/>
        <v>3.6727650000000001E-3</v>
      </c>
    </row>
    <row r="92" spans="1:12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  <c r="J92">
        <f t="shared" si="2"/>
        <v>4302.1322086</v>
      </c>
      <c r="L92" s="1">
        <f t="shared" si="3"/>
        <v>3.7037649999999999E-3</v>
      </c>
    </row>
    <row r="93" spans="1:12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  <c r="J93">
        <f t="shared" si="2"/>
        <v>4300.8120485999998</v>
      </c>
      <c r="L93" s="1">
        <f t="shared" si="3"/>
        <v>3.7347650000000001E-3</v>
      </c>
    </row>
    <row r="94" spans="1:12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  <c r="J94">
        <f t="shared" si="2"/>
        <v>4299.4918885999996</v>
      </c>
      <c r="L94" s="1">
        <f t="shared" si="3"/>
        <v>3.7657649999999999E-3</v>
      </c>
    </row>
    <row r="95" spans="1:12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  <c r="J95">
        <f t="shared" si="2"/>
        <v>4298.1717285999994</v>
      </c>
      <c r="L95" s="1">
        <f t="shared" si="3"/>
        <v>3.7967650000000001E-3</v>
      </c>
    </row>
    <row r="96" spans="1:12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  <c r="J96">
        <f t="shared" si="2"/>
        <v>4296.8515686000001</v>
      </c>
      <c r="L96" s="1">
        <f t="shared" si="3"/>
        <v>3.8277649999999999E-3</v>
      </c>
    </row>
    <row r="97" spans="1:12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  <c r="J97">
        <f t="shared" si="2"/>
        <v>4295.5314085999998</v>
      </c>
      <c r="L97" s="1">
        <f t="shared" si="3"/>
        <v>3.8587650000000001E-3</v>
      </c>
    </row>
    <row r="98" spans="1:12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  <c r="J98">
        <f t="shared" si="2"/>
        <v>4294.2112485999996</v>
      </c>
      <c r="L98" s="1">
        <f t="shared" si="3"/>
        <v>3.8897649999999999E-3</v>
      </c>
    </row>
    <row r="99" spans="1:12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  <c r="J99">
        <f t="shared" si="2"/>
        <v>4292.8910885999994</v>
      </c>
      <c r="L99" s="1">
        <f t="shared" si="3"/>
        <v>3.9207649999999997E-3</v>
      </c>
    </row>
    <row r="100" spans="1:12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  <c r="J100">
        <f t="shared" si="2"/>
        <v>4291.5709286000001</v>
      </c>
      <c r="L100" s="1">
        <f t="shared" si="3"/>
        <v>3.9517650000000003E-3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FB3B7-89F4-4863-822F-3E16D955AE72}">
  <dimension ref="A1:U67"/>
  <sheetViews>
    <sheetView tabSelected="1" topLeftCell="T4" zoomScaleNormal="100" workbookViewId="0">
      <selection activeCell="AM6" sqref="AM6"/>
    </sheetView>
  </sheetViews>
  <sheetFormatPr defaultRowHeight="15" x14ac:dyDescent="0.25"/>
  <cols>
    <col min="1" max="1" width="15.28515625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  <col min="10" max="10" width="23.42578125" bestFit="1" customWidth="1"/>
    <col min="11" max="11" width="12.7109375" bestFit="1" customWidth="1"/>
    <col min="12" max="12" width="12.28515625" bestFit="1" customWidth="1"/>
    <col min="13" max="13" width="12" bestFit="1" customWidth="1"/>
    <col min="14" max="14" width="24" bestFit="1" customWidth="1"/>
  </cols>
  <sheetData>
    <row r="1" spans="1:21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</row>
    <row r="2" spans="1:21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  <c r="J2" s="5" t="s">
        <v>20</v>
      </c>
      <c r="K2" s="5" t="s">
        <v>17</v>
      </c>
      <c r="L2" s="6" t="s">
        <v>18</v>
      </c>
      <c r="M2" s="5" t="s">
        <v>19</v>
      </c>
      <c r="N2" s="5" t="s">
        <v>21</v>
      </c>
      <c r="P2">
        <f>$K$3*A2+$L$3</f>
        <v>4422.973115704096</v>
      </c>
      <c r="Q2">
        <f>$K$4*A2+$L$4</f>
        <v>-1.933177405123933E-4</v>
      </c>
      <c r="R2">
        <f>$K$5*A2+$L$5</f>
        <v>5.6952918162074129</v>
      </c>
      <c r="S2">
        <f>$K$6*A2+$L$6</f>
        <v>116210529832.01758</v>
      </c>
      <c r="T2">
        <f>$K$7*A2+$L$7</f>
        <v>0.31769356890677586</v>
      </c>
      <c r="U2">
        <f>$K$8*A2+$L$8</f>
        <v>559.38649913023744</v>
      </c>
    </row>
    <row r="3" spans="1:21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  <c r="J3" t="s">
        <v>22</v>
      </c>
      <c r="K3">
        <f>SLOPE(B2:B67,A2:A67)</f>
        <v>-0.14007363959622768</v>
      </c>
      <c r="L3" s="1">
        <f>INTERCEPT(B2:B67,A2:A67)</f>
        <v>4464.736071349711</v>
      </c>
      <c r="M3">
        <f>RSQ(B2:B67,A2:A67)</f>
        <v>0.99839123806406871</v>
      </c>
      <c r="N3" t="str">
        <f>"ρ = "&amp;TEXT(K3,"0.0000")&amp;"*T + "&amp;TEXT(L3,"0.00")</f>
        <v>ρ = -0.1401*T + 4464.74</v>
      </c>
      <c r="P3">
        <f>$K$3*A3+$L$3</f>
        <v>4422.2727475061147</v>
      </c>
      <c r="Q3">
        <f>$K$4*A3+$L$4</f>
        <v>-1.3944929131148951E-4</v>
      </c>
      <c r="R3">
        <f>$K$5*A3+$L$5</f>
        <v>5.7841892671258286</v>
      </c>
      <c r="S3">
        <f>$K$6*A3+$L$6</f>
        <v>115942450807.42274</v>
      </c>
      <c r="T3">
        <f>$K$7*A3+$L$7</f>
        <v>0.3179011604930842</v>
      </c>
      <c r="U3">
        <f>$K$8*A3+$L$8</f>
        <v>560.52298222074728</v>
      </c>
    </row>
    <row r="4" spans="1:21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  <c r="J4" t="s">
        <v>23</v>
      </c>
      <c r="K4">
        <f>SLOPE(C2:C67,A2:A67)</f>
        <v>1.0773689840180713E-5</v>
      </c>
      <c r="L4" s="1">
        <f>INTERCEPT(C2:C67,A2:A67)</f>
        <v>-3.4054933663622724E-3</v>
      </c>
      <c r="M4">
        <f>RSQ(C2:C67,A2:A67)</f>
        <v>0.9979300039712522</v>
      </c>
      <c r="N4" t="str">
        <f>"α = "&amp;TEXT(K4,"0.00E+00")&amp;"*T + "&amp;TEXT(L4,"0.00E+00")</f>
        <v>α = 1.08E-05*T + -3.41E-03</v>
      </c>
      <c r="P4">
        <f>$K$3*A4+$L$3</f>
        <v>4420.872011110152</v>
      </c>
      <c r="Q4">
        <f>$K$4*A4+$L$4</f>
        <v>-3.1712392909682367E-5</v>
      </c>
      <c r="R4">
        <f>$K$5*A4+$L$5</f>
        <v>5.9619841689626618</v>
      </c>
      <c r="S4">
        <f>$K$6*A4+$L$6</f>
        <v>115406292758.23309</v>
      </c>
      <c r="T4">
        <f>$K$7*A4+$L$7</f>
        <v>0.31831634366570088</v>
      </c>
      <c r="U4">
        <f>$K$8*A4+$L$8</f>
        <v>562.79594840176708</v>
      </c>
    </row>
    <row r="5" spans="1:21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  <c r="J5" t="s">
        <v>24</v>
      </c>
      <c r="K5">
        <f>SLOPE(D2:D67,A2:A67)</f>
        <v>1.777949018368331E-2</v>
      </c>
      <c r="L5" s="1">
        <f>INTERCEPT(D2:D67,A2:A67)</f>
        <v>0.39433681794223396</v>
      </c>
      <c r="M5">
        <f>RSQ(D2:D67,A2:A67)</f>
        <v>0.99667907984421034</v>
      </c>
      <c r="N5" t="str">
        <f>"k = "&amp;TEXT(K5,"0.0000")&amp;"*T + "&amp;TEXT(L5,"0.000")</f>
        <v>k = 0.0178*T + 0.394</v>
      </c>
      <c r="P5">
        <f>$K$3*A5+$L$3</f>
        <v>4419.4712747141903</v>
      </c>
      <c r="Q5">
        <f>$K$4*A5+$L$4</f>
        <v>7.6024505492124778E-5</v>
      </c>
      <c r="R5">
        <f>$K$5*A5+$L$5</f>
        <v>6.139779070799495</v>
      </c>
      <c r="S5">
        <f>$K$6*A5+$L$6</f>
        <v>114870134709.04343</v>
      </c>
      <c r="T5">
        <f>$K$7*A5+$L$7</f>
        <v>0.31873152683831762</v>
      </c>
      <c r="U5">
        <f>$K$8*A5+$L$8</f>
        <v>565.06891458278687</v>
      </c>
    </row>
    <row r="6" spans="1:21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  <c r="J6" t="s">
        <v>25</v>
      </c>
      <c r="K6">
        <f>SLOPE(E2:E67,A2:A67)</f>
        <v>-53615804.918966033</v>
      </c>
      <c r="L6" s="1">
        <f>INTERCEPT(E2:E67,A2:A67)</f>
        <v>132196082068.6073</v>
      </c>
      <c r="M6">
        <f>RSQ(E2:E67,A2:A67)</f>
        <v>0.99994070567278259</v>
      </c>
      <c r="N6" t="str">
        <f>"E = "&amp;TEXT(K6,"0.00E+00")&amp;"*T + "&amp;TEXT(L6,"0.00E+00")</f>
        <v>E = -5.36E+07*T + 1.32E+11</v>
      </c>
      <c r="P6">
        <f>$K$3*A6+$L$3</f>
        <v>4418.0705383182276</v>
      </c>
      <c r="Q6">
        <f>$K$4*A6+$L$4</f>
        <v>1.8376140389393192E-4</v>
      </c>
      <c r="R6">
        <f>$K$5*A6+$L$5</f>
        <v>6.3175739726363283</v>
      </c>
      <c r="S6">
        <f>$K$6*A6+$L$6</f>
        <v>114333976659.85376</v>
      </c>
      <c r="T6">
        <f>$K$7*A6+$L$7</f>
        <v>0.31914671001093431</v>
      </c>
      <c r="U6">
        <f>$K$8*A6+$L$8</f>
        <v>567.34188076380667</v>
      </c>
    </row>
    <row r="7" spans="1:21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  <c r="J7" t="s">
        <v>26</v>
      </c>
      <c r="K7">
        <f>SLOPE(F2:F67,A2:A67)</f>
        <v>4.1518317261670499E-5</v>
      </c>
      <c r="L7" s="1">
        <f>INTERCEPT(F2:F67,A2:A67)</f>
        <v>0.30531488261520878</v>
      </c>
      <c r="M7">
        <f>RSQ(F2:F67,A2:A67)</f>
        <v>0.999675806210924</v>
      </c>
      <c r="N7" t="str">
        <f>"ν = "&amp;TEXT(K7,"0.00E+00")&amp;"*T + "&amp;TEXT(L7,"0.0000")</f>
        <v>ν = 4.15E-05*T + 0.3053</v>
      </c>
      <c r="P7">
        <f>$K$3*A7+$L$3</f>
        <v>4416.6698019222658</v>
      </c>
      <c r="Q7">
        <f>$K$4*A7+$L$4</f>
        <v>2.9149830229573907E-4</v>
      </c>
      <c r="R7">
        <f>$K$5*A7+$L$5</f>
        <v>6.4953688744731615</v>
      </c>
      <c r="S7">
        <f>$K$6*A7+$L$6</f>
        <v>113797818610.66411</v>
      </c>
      <c r="T7">
        <f>$K$7*A7+$L$7</f>
        <v>0.31956189318355099</v>
      </c>
      <c r="U7">
        <f>$K$8*A7+$L$8</f>
        <v>569.61484694482647</v>
      </c>
    </row>
    <row r="8" spans="1:21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  <c r="J8" t="s">
        <v>27</v>
      </c>
      <c r="K8">
        <f>SLOPE(G2:G67,A2:A67)</f>
        <v>0.22729661810197874</v>
      </c>
      <c r="L8" s="1">
        <f>INTERCEPT(G2:G67,A2:A67)</f>
        <v>491.61801244313244</v>
      </c>
      <c r="M8">
        <f>RSQ(G2:G67,A2:A67)</f>
        <v>0.99554792865514885</v>
      </c>
      <c r="N8" t="str">
        <f>"Cp = "&amp;TEXT(K8,"0.0000")&amp;"*T + "&amp;TEXT(L8,"0.00")</f>
        <v>Cp = 0.2273*T + 491.62</v>
      </c>
      <c r="P8">
        <f>$K$3*A8+$L$3</f>
        <v>4415.2690655263032</v>
      </c>
      <c r="Q8">
        <f>$K$4*A8+$L$4</f>
        <v>3.9923520069754621E-4</v>
      </c>
      <c r="R8">
        <f>$K$5*A8+$L$5</f>
        <v>6.6731637763099947</v>
      </c>
      <c r="S8">
        <f>$K$6*A8+$L$6</f>
        <v>113261660561.47444</v>
      </c>
      <c r="T8">
        <f>$K$7*A8+$L$7</f>
        <v>0.31997707635616773</v>
      </c>
      <c r="U8">
        <f>$K$8*A8+$L$8</f>
        <v>571.88781312584626</v>
      </c>
    </row>
    <row r="9" spans="1:21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  <c r="P9">
        <f>$K$3*A9+$L$3</f>
        <v>4413.8683291303405</v>
      </c>
      <c r="Q9">
        <f>$K$4*A9+$L$4</f>
        <v>5.0697209909935292E-4</v>
      </c>
      <c r="R9">
        <f>$K$5*A9+$L$5</f>
        <v>6.8509586781468279</v>
      </c>
      <c r="S9">
        <f>$K$6*A9+$L$6</f>
        <v>112725502512.28479</v>
      </c>
      <c r="T9">
        <f>$K$7*A9+$L$7</f>
        <v>0.32039225952878442</v>
      </c>
      <c r="U9">
        <f>$K$8*A9+$L$8</f>
        <v>574.16077930686606</v>
      </c>
    </row>
    <row r="10" spans="1:21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  <c r="P10">
        <f>$K$3*A10+$L$3</f>
        <v>4412.4675927343787</v>
      </c>
      <c r="Q10">
        <f>$K$4*A10+$L$4</f>
        <v>6.147089975011605E-4</v>
      </c>
      <c r="R10">
        <f>$K$5*A10+$L$5</f>
        <v>7.0287535799836611</v>
      </c>
      <c r="S10">
        <f>$K$6*A10+$L$6</f>
        <v>112189344463.09512</v>
      </c>
      <c r="T10">
        <f>$K$7*A10+$L$7</f>
        <v>0.3208074427014011</v>
      </c>
      <c r="U10">
        <f>$K$8*A10+$L$8</f>
        <v>576.43374548788574</v>
      </c>
    </row>
    <row r="11" spans="1:21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  <c r="L11" s="1"/>
      <c r="P11">
        <f>$K$3*A11+$L$3</f>
        <v>4411.0668563384161</v>
      </c>
      <c r="Q11">
        <f>$K$4*A11+$L$4</f>
        <v>7.2244589590296721E-4</v>
      </c>
      <c r="R11">
        <f>$K$5*A11+$L$5</f>
        <v>7.2065484818204935</v>
      </c>
      <c r="S11">
        <f>$K$6*A11+$L$6</f>
        <v>111653186413.90546</v>
      </c>
      <c r="T11">
        <f>$K$7*A11+$L$7</f>
        <v>0.32122262587401784</v>
      </c>
      <c r="U11">
        <f>$K$8*A11+$L$8</f>
        <v>578.70671166890565</v>
      </c>
    </row>
    <row r="12" spans="1:21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  <c r="L12" s="1"/>
      <c r="P12">
        <f>$K$3*A12+$L$3</f>
        <v>4409.6661199424543</v>
      </c>
      <c r="Q12">
        <f>$K$4*A12+$L$4</f>
        <v>8.3018279430477479E-4</v>
      </c>
      <c r="R12">
        <f>$K$5*A12+$L$5</f>
        <v>7.3843433836573267</v>
      </c>
      <c r="S12">
        <f>$K$6*A12+$L$6</f>
        <v>111117028364.71581</v>
      </c>
      <c r="T12">
        <f>$K$7*A12+$L$7</f>
        <v>0.32163780904663453</v>
      </c>
      <c r="U12">
        <f>$K$8*A12+$L$8</f>
        <v>580.97967784992534</v>
      </c>
    </row>
    <row r="13" spans="1:21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  <c r="L13" s="1"/>
      <c r="P13">
        <f>$K$3*A13+$L$3</f>
        <v>4408.2653835464916</v>
      </c>
      <c r="Q13">
        <f>$K$4*A13+$L$4</f>
        <v>9.379196927065815E-4</v>
      </c>
      <c r="R13">
        <f>$K$5*A13+$L$5</f>
        <v>7.5621382854941599</v>
      </c>
      <c r="S13">
        <f>$K$6*A13+$L$6</f>
        <v>110580870315.52615</v>
      </c>
      <c r="T13">
        <f>$K$7*A13+$L$7</f>
        <v>0.32205299221925127</v>
      </c>
      <c r="U13">
        <f>$K$8*A13+$L$8</f>
        <v>583.25264403094513</v>
      </c>
    </row>
    <row r="14" spans="1:21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  <c r="L14" s="1"/>
      <c r="P14">
        <f>$K$3*A14+$L$3</f>
        <v>4406.8646471505299</v>
      </c>
      <c r="Q14">
        <f>$K$4*A14+$L$4</f>
        <v>1.0456565911083891E-3</v>
      </c>
      <c r="R14">
        <f>$K$5*A14+$L$5</f>
        <v>7.7399331873309931</v>
      </c>
      <c r="S14">
        <f>$K$6*A14+$L$6</f>
        <v>110044712266.33649</v>
      </c>
      <c r="T14">
        <f>$K$7*A14+$L$7</f>
        <v>0.32246817539186795</v>
      </c>
      <c r="U14">
        <f>$K$8*A14+$L$8</f>
        <v>585.52561021196493</v>
      </c>
    </row>
    <row r="15" spans="1:21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  <c r="L15" s="1"/>
      <c r="P15">
        <f>$K$3*A15+$L$3</f>
        <v>4405.4639107545672</v>
      </c>
      <c r="Q15">
        <f>$K$4*A15+$L$4</f>
        <v>1.1533934895101958E-3</v>
      </c>
      <c r="R15">
        <f>$K$5*A15+$L$5</f>
        <v>7.9177280891678263</v>
      </c>
      <c r="S15">
        <f>$K$6*A15+$L$6</f>
        <v>109508554217.14682</v>
      </c>
      <c r="T15">
        <f>$K$7*A15+$L$7</f>
        <v>0.32288335856448463</v>
      </c>
      <c r="U15">
        <f>$K$8*A15+$L$8</f>
        <v>587.79857639298473</v>
      </c>
    </row>
    <row r="16" spans="1:21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  <c r="L16" s="1"/>
      <c r="P16">
        <f>$K$3*A16+$L$3</f>
        <v>4404.0631743586046</v>
      </c>
      <c r="Q16">
        <f>$K$4*A16+$L$4</f>
        <v>1.2611303879120034E-3</v>
      </c>
      <c r="R16">
        <f>$K$5*A16+$L$5</f>
        <v>8.0955229910046604</v>
      </c>
      <c r="S16">
        <f>$K$6*A16+$L$6</f>
        <v>108972396167.95717</v>
      </c>
      <c r="T16">
        <f>$K$7*A16+$L$7</f>
        <v>0.32329854173710137</v>
      </c>
      <c r="U16">
        <f>$K$8*A16+$L$8</f>
        <v>590.07154257400452</v>
      </c>
    </row>
    <row r="17" spans="1:21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  <c r="L17" s="1"/>
      <c r="P17">
        <f>$K$3*A17+$L$3</f>
        <v>4402.6624379626428</v>
      </c>
      <c r="Q17">
        <f>$K$4*A17+$L$4</f>
        <v>1.3688672863138101E-3</v>
      </c>
      <c r="R17">
        <f>$K$5*A17+$L$5</f>
        <v>8.2733178928414937</v>
      </c>
      <c r="S17">
        <f>$K$6*A17+$L$6</f>
        <v>108436238118.7675</v>
      </c>
      <c r="T17">
        <f>$K$7*A17+$L$7</f>
        <v>0.32371372490971806</v>
      </c>
      <c r="U17">
        <f>$K$8*A17+$L$8</f>
        <v>592.34450875502432</v>
      </c>
    </row>
    <row r="18" spans="1:21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  <c r="L18" s="1"/>
      <c r="P18">
        <f>$K$3*A18+$L$3</f>
        <v>4401.2617015666801</v>
      </c>
      <c r="Q18">
        <f>$K$4*A18+$L$4</f>
        <v>1.4766041847156177E-3</v>
      </c>
      <c r="R18">
        <f>$K$5*A18+$L$5</f>
        <v>8.4511127946783251</v>
      </c>
      <c r="S18">
        <f>$K$6*A18+$L$6</f>
        <v>107900080069.57785</v>
      </c>
      <c r="T18">
        <f>$K$7*A18+$L$7</f>
        <v>0.32412890808233474</v>
      </c>
      <c r="U18">
        <f>$K$8*A18+$L$8</f>
        <v>594.61747493604412</v>
      </c>
    </row>
    <row r="19" spans="1:21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  <c r="L19" s="1"/>
      <c r="P19">
        <f>$K$3*A19+$L$3</f>
        <v>4399.8609651707184</v>
      </c>
      <c r="Q19">
        <f>$K$4*A19+$L$4</f>
        <v>1.5843410831174244E-3</v>
      </c>
      <c r="R19">
        <f>$K$5*A19+$L$5</f>
        <v>8.6289076965151583</v>
      </c>
      <c r="S19">
        <f>$K$6*A19+$L$6</f>
        <v>107363922020.38818</v>
      </c>
      <c r="T19">
        <f>$K$7*A19+$L$7</f>
        <v>0.32454409125495148</v>
      </c>
      <c r="U19">
        <f>$K$8*A19+$L$8</f>
        <v>596.89044111706392</v>
      </c>
    </row>
    <row r="20" spans="1:21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  <c r="L20" s="1"/>
      <c r="P20">
        <f>$K$3*A20+$L$3</f>
        <v>4398.4602287747557</v>
      </c>
      <c r="Q20">
        <f>$K$4*A20+$L$4</f>
        <v>1.6920779815192319E-3</v>
      </c>
      <c r="R20">
        <f>$K$5*A20+$L$5</f>
        <v>8.8067025983519915</v>
      </c>
      <c r="S20">
        <f>$K$6*A20+$L$6</f>
        <v>106827763971.19852</v>
      </c>
      <c r="T20">
        <f>$K$7*A20+$L$7</f>
        <v>0.32495927442756817</v>
      </c>
      <c r="U20">
        <f>$K$8*A20+$L$8</f>
        <v>599.16340729808371</v>
      </c>
    </row>
    <row r="21" spans="1:21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  <c r="L21" s="1"/>
      <c r="P21">
        <f>$K$3*A21+$L$3</f>
        <v>4397.0594923787939</v>
      </c>
      <c r="Q21">
        <f>$K$4*A21+$L$4</f>
        <v>1.7998148799210387E-3</v>
      </c>
      <c r="R21">
        <f>$K$5*A21+$L$5</f>
        <v>8.9844975001888248</v>
      </c>
      <c r="S21">
        <f>$K$6*A21+$L$6</f>
        <v>106291605922.00887</v>
      </c>
      <c r="T21">
        <f>$K$7*A21+$L$7</f>
        <v>0.32537445760018491</v>
      </c>
      <c r="U21">
        <f>$K$8*A21+$L$8</f>
        <v>601.43637347910351</v>
      </c>
    </row>
    <row r="22" spans="1:21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  <c r="L22" s="1"/>
      <c r="P22">
        <f>$K$3*A22+$L$3</f>
        <v>4395.6587559828313</v>
      </c>
      <c r="Q22">
        <f>$K$4*A22+$L$4</f>
        <v>1.9075517783228462E-3</v>
      </c>
      <c r="R22">
        <f>$K$5*A22+$L$5</f>
        <v>9.162292402025658</v>
      </c>
      <c r="S22">
        <f>$K$6*A22+$L$6</f>
        <v>105755447872.8192</v>
      </c>
      <c r="T22">
        <f>$K$7*A22+$L$7</f>
        <v>0.32578964077280159</v>
      </c>
      <c r="U22">
        <f>$K$8*A22+$L$8</f>
        <v>603.70933966012331</v>
      </c>
    </row>
    <row r="23" spans="1:21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  <c r="L23" s="1"/>
      <c r="P23">
        <f>$K$3*A23+$L$3</f>
        <v>4394.2580195868686</v>
      </c>
      <c r="Q23">
        <f>$K$4*A23+$L$4</f>
        <v>2.0152886767246529E-3</v>
      </c>
      <c r="R23">
        <f>$K$5*A23+$L$5</f>
        <v>9.3400873038624912</v>
      </c>
      <c r="S23">
        <f>$K$6*A23+$L$6</f>
        <v>105219289823.62955</v>
      </c>
      <c r="T23">
        <f>$K$7*A23+$L$7</f>
        <v>0.32620482394541828</v>
      </c>
      <c r="U23">
        <f>$K$8*A23+$L$8</f>
        <v>605.98230584114299</v>
      </c>
    </row>
    <row r="24" spans="1:21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  <c r="L24" s="1"/>
      <c r="P24">
        <f>$K$3*A24+$L$3</f>
        <v>4392.8572831909069</v>
      </c>
      <c r="Q24">
        <f>$K$4*A24+$L$4</f>
        <v>2.1230255751264605E-3</v>
      </c>
      <c r="R24">
        <f>$K$5*A24+$L$5</f>
        <v>9.5178822056993244</v>
      </c>
      <c r="S24">
        <f>$K$6*A24+$L$6</f>
        <v>104683131774.43988</v>
      </c>
      <c r="T24">
        <f>$K$7*A24+$L$7</f>
        <v>0.32662000711803502</v>
      </c>
      <c r="U24">
        <f>$K$8*A24+$L$8</f>
        <v>608.25527202216279</v>
      </c>
    </row>
    <row r="25" spans="1:21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  <c r="L25" s="1"/>
      <c r="P25">
        <f>$K$3*A25+$L$3</f>
        <v>4391.4565467949442</v>
      </c>
      <c r="Q25">
        <f>$K$4*A25+$L$4</f>
        <v>2.2307624735282672E-3</v>
      </c>
      <c r="R25">
        <f>$K$5*A25+$L$5</f>
        <v>9.6956771075361576</v>
      </c>
      <c r="S25">
        <f>$K$6*A25+$L$6</f>
        <v>104146973725.25021</v>
      </c>
      <c r="T25">
        <f>$K$7*A25+$L$7</f>
        <v>0.3270351902906517</v>
      </c>
      <c r="U25">
        <f>$K$8*A25+$L$8</f>
        <v>610.52823820318258</v>
      </c>
    </row>
    <row r="26" spans="1:21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  <c r="L26" s="1"/>
      <c r="P26">
        <f>$K$3*A26+$L$3</f>
        <v>4390.0558103989824</v>
      </c>
      <c r="Q26">
        <f>$K$4*A26+$L$4</f>
        <v>2.3384993719300748E-3</v>
      </c>
      <c r="R26">
        <f>$K$5*A26+$L$5</f>
        <v>9.8734720093729909</v>
      </c>
      <c r="S26">
        <f>$K$6*A26+$L$6</f>
        <v>103610815676.06056</v>
      </c>
      <c r="T26">
        <f>$K$7*A26+$L$7</f>
        <v>0.32745037346326838</v>
      </c>
      <c r="U26">
        <f>$K$8*A26+$L$8</f>
        <v>612.80120438420238</v>
      </c>
    </row>
    <row r="27" spans="1:21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  <c r="L27" s="1"/>
      <c r="P27">
        <f>$K$3*A27+$L$3</f>
        <v>4388.6550740030198</v>
      </c>
      <c r="Q27">
        <f>$K$4*A27+$L$4</f>
        <v>2.4462362703318815E-3</v>
      </c>
      <c r="R27">
        <f>$K$5*A27+$L$5</f>
        <v>10.051266911209824</v>
      </c>
      <c r="S27">
        <f>$K$6*A27+$L$6</f>
        <v>103074657626.8709</v>
      </c>
      <c r="T27">
        <f>$K$7*A27+$L$7</f>
        <v>0.32786555663588512</v>
      </c>
      <c r="U27">
        <f>$K$8*A27+$L$8</f>
        <v>615.07417056522218</v>
      </c>
    </row>
    <row r="28" spans="1:21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  <c r="L28" s="1"/>
      <c r="P28">
        <f>$K$3*A28+$L$3</f>
        <v>4387.254337607058</v>
      </c>
      <c r="Q28">
        <f>$K$4*A28+$L$4</f>
        <v>2.5539731687336891E-3</v>
      </c>
      <c r="R28">
        <f>$K$5*A28+$L$5</f>
        <v>10.229061813046657</v>
      </c>
      <c r="S28">
        <f>$K$6*A28+$L$6</f>
        <v>102538499577.68124</v>
      </c>
      <c r="T28">
        <f>$K$7*A28+$L$7</f>
        <v>0.32828073980850181</v>
      </c>
      <c r="U28">
        <f>$K$8*A28+$L$8</f>
        <v>617.34713674624197</v>
      </c>
    </row>
    <row r="29" spans="1:21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  <c r="L29" s="1"/>
      <c r="P29">
        <f>$K$3*A29+$L$3</f>
        <v>4385.8536012110953</v>
      </c>
      <c r="Q29">
        <f>$K$4*A29+$L$4</f>
        <v>2.6617100671354958E-3</v>
      </c>
      <c r="R29">
        <f>$K$5*A29+$L$5</f>
        <v>10.406856714883491</v>
      </c>
      <c r="S29">
        <f>$K$6*A29+$L$6</f>
        <v>102002341528.49158</v>
      </c>
      <c r="T29">
        <f>$K$7*A29+$L$7</f>
        <v>0.32869592298111849</v>
      </c>
      <c r="U29">
        <f>$K$8*A29+$L$8</f>
        <v>619.62010292726177</v>
      </c>
    </row>
    <row r="30" spans="1:21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  <c r="L30" s="1"/>
      <c r="P30">
        <f>$K$3*A30+$L$3</f>
        <v>4384.4528648151327</v>
      </c>
      <c r="Q30">
        <f>$K$4*A30+$L$4</f>
        <v>2.7694469655373034E-3</v>
      </c>
      <c r="R30">
        <f>$K$5*A30+$L$5</f>
        <v>10.584651616720322</v>
      </c>
      <c r="S30">
        <f>$K$6*A30+$L$6</f>
        <v>101466183479.30191</v>
      </c>
      <c r="T30">
        <f>$K$7*A30+$L$7</f>
        <v>0.32911110615373523</v>
      </c>
      <c r="U30">
        <f>$K$8*A30+$L$8</f>
        <v>621.89306910828157</v>
      </c>
    </row>
    <row r="31" spans="1:21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  <c r="L31" s="1"/>
      <c r="P31">
        <f>$K$3*A31+$L$3</f>
        <v>4383.0521284191709</v>
      </c>
      <c r="Q31">
        <f>$K$4*A31+$L$4</f>
        <v>2.8771838639391101E-3</v>
      </c>
      <c r="R31">
        <f>$K$5*A31+$L$5</f>
        <v>10.762446518557155</v>
      </c>
      <c r="S31">
        <f>$K$6*A31+$L$6</f>
        <v>100930025430.11226</v>
      </c>
      <c r="T31">
        <f>$K$7*A31+$L$7</f>
        <v>0.32952628932635192</v>
      </c>
      <c r="U31">
        <f>$K$8*A31+$L$8</f>
        <v>624.16603528930136</v>
      </c>
    </row>
    <row r="32" spans="1:21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  <c r="L32" s="1"/>
      <c r="P32">
        <f>$K$3*A32+$L$3</f>
        <v>4381.6513920232082</v>
      </c>
      <c r="Q32">
        <f>$K$4*A32+$L$4</f>
        <v>2.9849207623409177E-3</v>
      </c>
      <c r="R32">
        <f>$K$5*A32+$L$5</f>
        <v>10.940241420393988</v>
      </c>
      <c r="S32">
        <f>$K$6*A32+$L$6</f>
        <v>100393867380.92261</v>
      </c>
      <c r="T32">
        <f>$K$7*A32+$L$7</f>
        <v>0.32994147249896866</v>
      </c>
      <c r="U32">
        <f>$K$8*A32+$L$8</f>
        <v>626.43900147032116</v>
      </c>
    </row>
    <row r="33" spans="1:21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  <c r="L33" s="1"/>
      <c r="P33">
        <f>$K$3*A33+$L$3</f>
        <v>4380.2506556272465</v>
      </c>
      <c r="Q33">
        <f>$K$4*A33+$L$4</f>
        <v>3.0926576607427244E-3</v>
      </c>
      <c r="R33">
        <f>$K$5*A33+$L$5</f>
        <v>11.118036322230822</v>
      </c>
      <c r="S33">
        <f>$K$6*A33+$L$6</f>
        <v>99857709331.732941</v>
      </c>
      <c r="T33">
        <f>$K$7*A33+$L$7</f>
        <v>0.33035665567158534</v>
      </c>
      <c r="U33">
        <f>$K$8*A33+$L$8</f>
        <v>628.71196765134096</v>
      </c>
    </row>
    <row r="34" spans="1:21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  <c r="L34" s="1"/>
      <c r="P34">
        <f>$K$3*A34+$L$3</f>
        <v>4378.8499192312838</v>
      </c>
      <c r="Q34">
        <f>$K$4*A34+$L$4</f>
        <v>3.200394559144532E-3</v>
      </c>
      <c r="R34">
        <f>$K$5*A34+$L$5</f>
        <v>11.295831224067655</v>
      </c>
      <c r="S34">
        <f>$K$6*A34+$L$6</f>
        <v>99321551282.543274</v>
      </c>
      <c r="T34">
        <f>$K$7*A34+$L$7</f>
        <v>0.33077183884420203</v>
      </c>
      <c r="U34">
        <f>$K$8*A34+$L$8</f>
        <v>630.98493383236064</v>
      </c>
    </row>
    <row r="35" spans="1:21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  <c r="L35" s="1"/>
      <c r="P35">
        <f>$K$3*A35+$L$3</f>
        <v>4377.4491828353221</v>
      </c>
      <c r="Q35">
        <f>$K$4*A35+$L$4</f>
        <v>3.3081314575463387E-3</v>
      </c>
      <c r="R35">
        <f>$K$5*A35+$L$5</f>
        <v>11.473626125904488</v>
      </c>
      <c r="S35">
        <f>$K$6*A35+$L$6</f>
        <v>98785393233.353622</v>
      </c>
      <c r="T35">
        <f>$K$7*A35+$L$7</f>
        <v>0.33118702201681877</v>
      </c>
      <c r="U35">
        <f>$K$8*A35+$L$8</f>
        <v>633.25790001338055</v>
      </c>
    </row>
    <row r="36" spans="1:21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  <c r="L36" s="1"/>
      <c r="P36">
        <f>$K$3*A36+$L$3</f>
        <v>4376.0484464393594</v>
      </c>
      <c r="Q36">
        <f>$K$4*A36+$L$4</f>
        <v>3.4158683559481454E-3</v>
      </c>
      <c r="R36">
        <f>$K$5*A36+$L$5</f>
        <v>11.651421027741321</v>
      </c>
      <c r="S36">
        <f>$K$6*A36+$L$6</f>
        <v>98249235184.163956</v>
      </c>
      <c r="T36">
        <f>$K$7*A36+$L$7</f>
        <v>0.33160220518943545</v>
      </c>
      <c r="U36">
        <f>$K$8*A36+$L$8</f>
        <v>635.53086619440023</v>
      </c>
    </row>
    <row r="37" spans="1:21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  <c r="L37" s="1"/>
      <c r="P37">
        <f>$K$3*A37+$L$3</f>
        <v>4374.6477100433967</v>
      </c>
      <c r="Q37">
        <f>$K$4*A37+$L$4</f>
        <v>3.523605254349953E-3</v>
      </c>
      <c r="R37">
        <f>$K$5*A37+$L$5</f>
        <v>11.829215929578154</v>
      </c>
      <c r="S37">
        <f>$K$6*A37+$L$6</f>
        <v>97713077134.974304</v>
      </c>
      <c r="T37">
        <f>$K$7*A37+$L$7</f>
        <v>0.33201738836205219</v>
      </c>
      <c r="U37">
        <f>$K$8*A37+$L$8</f>
        <v>637.80383237542003</v>
      </c>
    </row>
    <row r="38" spans="1:21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  <c r="L38" s="1"/>
      <c r="P38">
        <f>$K$3*A38+$L$3</f>
        <v>4373.246973647435</v>
      </c>
      <c r="Q38">
        <f>$K$4*A38+$L$4</f>
        <v>3.6313421527517597E-3</v>
      </c>
      <c r="R38">
        <f>$K$5*A38+$L$5</f>
        <v>12.007010831414988</v>
      </c>
      <c r="S38">
        <f>$K$6*A38+$L$6</f>
        <v>97176919085.784637</v>
      </c>
      <c r="T38">
        <f>$K$7*A38+$L$7</f>
        <v>0.33243257153466887</v>
      </c>
      <c r="U38">
        <f>$K$8*A38+$L$8</f>
        <v>640.07679855643983</v>
      </c>
    </row>
    <row r="39" spans="1:21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  <c r="L39" s="1"/>
      <c r="P39">
        <f>$K$3*A39+$L$3</f>
        <v>4371.8462372514723</v>
      </c>
      <c r="Q39">
        <f>$K$4*A39+$L$4</f>
        <v>3.7390790511535672E-3</v>
      </c>
      <c r="R39">
        <f>$K$5*A39+$L$5</f>
        <v>12.184805733251821</v>
      </c>
      <c r="S39">
        <f>$K$6*A39+$L$6</f>
        <v>96640761036.594971</v>
      </c>
      <c r="T39">
        <f>$K$7*A39+$L$7</f>
        <v>0.33284775470728556</v>
      </c>
      <c r="U39">
        <f>$K$8*A39+$L$8</f>
        <v>642.34976473745962</v>
      </c>
    </row>
    <row r="40" spans="1:21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  <c r="L40" s="1"/>
      <c r="P40">
        <f>$K$3*A40+$L$3</f>
        <v>4370.4455008555105</v>
      </c>
      <c r="Q40">
        <f>$K$4*A40+$L$4</f>
        <v>3.846815949555374E-3</v>
      </c>
      <c r="R40">
        <f>$K$5*A40+$L$5</f>
        <v>12.362600635088654</v>
      </c>
      <c r="S40">
        <f>$K$6*A40+$L$6</f>
        <v>96104602987.405319</v>
      </c>
      <c r="T40">
        <f>$K$7*A40+$L$7</f>
        <v>0.3332629378799023</v>
      </c>
      <c r="U40">
        <f>$K$8*A40+$L$8</f>
        <v>644.62273091847942</v>
      </c>
    </row>
    <row r="41" spans="1:21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  <c r="L41" s="1"/>
      <c r="P41">
        <f>$K$3*A41+$L$3</f>
        <v>4369.0447644595479</v>
      </c>
      <c r="Q41">
        <f>$K$4*A41+$L$4</f>
        <v>3.954552847957182E-3</v>
      </c>
      <c r="R41">
        <f>$K$5*A41+$L$5</f>
        <v>12.540395536925487</v>
      </c>
      <c r="S41">
        <f>$K$6*A41+$L$6</f>
        <v>95568444938.215652</v>
      </c>
      <c r="T41">
        <f>$K$7*A41+$L$7</f>
        <v>0.33367812105251898</v>
      </c>
      <c r="U41">
        <f>$K$8*A41+$L$8</f>
        <v>646.89569709949922</v>
      </c>
    </row>
    <row r="42" spans="1:21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  <c r="L42" s="1"/>
      <c r="P42">
        <f>$K$3*A42+$L$3</f>
        <v>4367.6440280635861</v>
      </c>
      <c r="Q42">
        <f>$K$4*A42+$L$4</f>
        <v>4.0622897463589887E-3</v>
      </c>
      <c r="R42">
        <f>$K$5*A42+$L$5</f>
        <v>12.718190438762321</v>
      </c>
      <c r="S42">
        <f>$K$6*A42+$L$6</f>
        <v>95032286889.026001</v>
      </c>
      <c r="T42">
        <f>$K$7*A42+$L$7</f>
        <v>0.33409330422513567</v>
      </c>
      <c r="U42">
        <f>$K$8*A42+$L$8</f>
        <v>649.16866328051901</v>
      </c>
    </row>
    <row r="43" spans="1:21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  <c r="L43" s="1"/>
      <c r="P43">
        <f>$K$3*A43+$L$3</f>
        <v>4366.2432916676235</v>
      </c>
      <c r="Q43">
        <f>$K$4*A43+$L$4</f>
        <v>4.1700266447607954E-3</v>
      </c>
      <c r="R43">
        <f>$K$5*A43+$L$5</f>
        <v>12.895985340599154</v>
      </c>
      <c r="S43">
        <f>$K$6*A43+$L$6</f>
        <v>94496128839.836334</v>
      </c>
      <c r="T43">
        <f>$K$7*A43+$L$7</f>
        <v>0.33450848739775241</v>
      </c>
      <c r="U43">
        <f>$K$8*A43+$L$8</f>
        <v>651.44162946153881</v>
      </c>
    </row>
    <row r="44" spans="1:21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  <c r="L44" s="1"/>
      <c r="P44">
        <f>$K$3*A44+$L$3</f>
        <v>4364.8425552716608</v>
      </c>
      <c r="Q44">
        <f>$K$4*A44+$L$4</f>
        <v>4.2777635431626021E-3</v>
      </c>
      <c r="R44">
        <f>$K$5*A44+$L$5</f>
        <v>13.073780242435987</v>
      </c>
      <c r="S44">
        <f>$K$6*A44+$L$6</f>
        <v>93959970790.646667</v>
      </c>
      <c r="T44">
        <f>$K$7*A44+$L$7</f>
        <v>0.33492367057036909</v>
      </c>
      <c r="U44">
        <f>$K$8*A44+$L$8</f>
        <v>653.71459564255861</v>
      </c>
    </row>
    <row r="45" spans="1:21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  <c r="L45" s="1"/>
      <c r="P45">
        <f>$K$3*A45+$L$3</f>
        <v>4363.441818875699</v>
      </c>
      <c r="Q45">
        <f>$K$4*A45+$L$4</f>
        <v>4.3855004415644105E-3</v>
      </c>
      <c r="R45">
        <f>$K$5*A45+$L$5</f>
        <v>13.251575144272818</v>
      </c>
      <c r="S45">
        <f>$K$6*A45+$L$6</f>
        <v>93423812741.457016</v>
      </c>
      <c r="T45">
        <f>$K$7*A45+$L$7</f>
        <v>0.33533885374298578</v>
      </c>
      <c r="U45">
        <f>$K$8*A45+$L$8</f>
        <v>655.9875618235784</v>
      </c>
    </row>
    <row r="46" spans="1:21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  <c r="L46" s="1"/>
      <c r="P46">
        <f>$K$3*A46+$L$3</f>
        <v>4362.0410824797364</v>
      </c>
      <c r="Q46">
        <f>$K$4*A46+$L$4</f>
        <v>4.4932373399662173E-3</v>
      </c>
      <c r="R46">
        <f>$K$5*A46+$L$5</f>
        <v>13.429370046109652</v>
      </c>
      <c r="S46">
        <f>$K$6*A46+$L$6</f>
        <v>92887654692.267365</v>
      </c>
      <c r="T46">
        <f>$K$7*A46+$L$7</f>
        <v>0.33575403691560252</v>
      </c>
      <c r="U46">
        <f>$K$8*A46+$L$8</f>
        <v>658.2605280045982</v>
      </c>
    </row>
    <row r="47" spans="1:21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  <c r="L47" s="1"/>
      <c r="P47">
        <f>$K$3*A47+$L$3</f>
        <v>4360.6403460837746</v>
      </c>
      <c r="Q47">
        <f>$K$4*A47+$L$4</f>
        <v>4.600974238368024E-3</v>
      </c>
      <c r="R47">
        <f>$K$5*A47+$L$5</f>
        <v>13.607164947946485</v>
      </c>
      <c r="S47">
        <f>$K$6*A47+$L$6</f>
        <v>92351496643.077698</v>
      </c>
      <c r="T47">
        <f>$K$7*A47+$L$7</f>
        <v>0.3361692200882192</v>
      </c>
      <c r="U47">
        <f>$K$8*A47+$L$8</f>
        <v>660.53349418561788</v>
      </c>
    </row>
    <row r="48" spans="1:21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  <c r="L48" s="1"/>
      <c r="P48">
        <f>$K$3*A48+$L$3</f>
        <v>4359.2396096878119</v>
      </c>
      <c r="Q48">
        <f>$K$4*A48+$L$4</f>
        <v>4.7087111367698307E-3</v>
      </c>
      <c r="R48">
        <f>$K$5*A48+$L$5</f>
        <v>13.784959849783318</v>
      </c>
      <c r="S48">
        <f>$K$6*A48+$L$6</f>
        <v>91815338593.888031</v>
      </c>
      <c r="T48">
        <f>$K$7*A48+$L$7</f>
        <v>0.33658440326083594</v>
      </c>
      <c r="U48">
        <f>$K$8*A48+$L$8</f>
        <v>662.80646036663779</v>
      </c>
    </row>
    <row r="49" spans="1:21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  <c r="L49" s="1"/>
      <c r="P49">
        <f>$K$3*A49+$L$3</f>
        <v>4357.8388732918502</v>
      </c>
      <c r="Q49">
        <f>$K$4*A49+$L$4</f>
        <v>4.8164480351716374E-3</v>
      </c>
      <c r="R49">
        <f>$K$5*A49+$L$5</f>
        <v>13.962754751620151</v>
      </c>
      <c r="S49">
        <f>$K$6*A49+$L$6</f>
        <v>91279180544.698364</v>
      </c>
      <c r="T49">
        <f>$K$7*A49+$L$7</f>
        <v>0.33699958643345262</v>
      </c>
      <c r="U49">
        <f>$K$8*A49+$L$8</f>
        <v>665.07942654765748</v>
      </c>
    </row>
    <row r="50" spans="1:21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  <c r="L50" s="1"/>
      <c r="P50">
        <f>$K$3*A50+$L$3</f>
        <v>4356.4381368958875</v>
      </c>
      <c r="Q50">
        <f>$K$4*A50+$L$4</f>
        <v>4.9241849335734458E-3</v>
      </c>
      <c r="R50">
        <f>$K$5*A50+$L$5</f>
        <v>14.140549653456985</v>
      </c>
      <c r="S50">
        <f>$K$6*A50+$L$6</f>
        <v>90743022495.508713</v>
      </c>
      <c r="T50">
        <f>$K$7*A50+$L$7</f>
        <v>0.33741476960606931</v>
      </c>
      <c r="U50">
        <f>$K$8*A50+$L$8</f>
        <v>667.35239272867727</v>
      </c>
    </row>
    <row r="51" spans="1:21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  <c r="L51" s="1"/>
      <c r="P51">
        <f>$K$3*A51+$L$3</f>
        <v>4355.0374004999248</v>
      </c>
      <c r="Q51">
        <f>$K$4*A51+$L$4</f>
        <v>5.0319218319752525E-3</v>
      </c>
      <c r="R51">
        <f>$K$5*A51+$L$5</f>
        <v>14.318344555293818</v>
      </c>
      <c r="S51">
        <f>$K$6*A51+$L$6</f>
        <v>90206864446.319061</v>
      </c>
      <c r="T51">
        <f>$K$7*A51+$L$7</f>
        <v>0.33782995277868605</v>
      </c>
      <c r="U51">
        <f>$K$8*A51+$L$8</f>
        <v>669.62535890969707</v>
      </c>
    </row>
    <row r="52" spans="1:21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  <c r="L52" s="1"/>
      <c r="P52">
        <f>$K$3*A52+$L$3</f>
        <v>4353.6366641039631</v>
      </c>
      <c r="Q52">
        <f>$K$4*A52+$L$4</f>
        <v>5.1396587303770593E-3</v>
      </c>
      <c r="R52">
        <f>$K$5*A52+$L$5</f>
        <v>14.496139457130651</v>
      </c>
      <c r="S52">
        <f>$K$6*A52+$L$6</f>
        <v>89670706397.129395</v>
      </c>
      <c r="T52">
        <f>$K$7*A52+$L$7</f>
        <v>0.33824513595130273</v>
      </c>
      <c r="U52">
        <f>$K$8*A52+$L$8</f>
        <v>671.89832509071687</v>
      </c>
    </row>
    <row r="53" spans="1:21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  <c r="L53" s="1"/>
      <c r="P53">
        <f>$K$3*A53+$L$3</f>
        <v>4352.2359277080004</v>
      </c>
      <c r="Q53">
        <f>$K$4*A53+$L$4</f>
        <v>5.247395628778866E-3</v>
      </c>
      <c r="R53">
        <f>$K$5*A53+$L$5</f>
        <v>14.673934358967484</v>
      </c>
      <c r="S53">
        <f>$K$6*A53+$L$6</f>
        <v>89134548347.939728</v>
      </c>
      <c r="T53">
        <f>$K$7*A53+$L$7</f>
        <v>0.33866031912391947</v>
      </c>
      <c r="U53">
        <f>$K$8*A53+$L$8</f>
        <v>674.17129127173666</v>
      </c>
    </row>
    <row r="54" spans="1:21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  <c r="L54" s="1"/>
      <c r="P54">
        <f>$K$3*A54+$L$3</f>
        <v>4350.8351913120387</v>
      </c>
      <c r="Q54">
        <f>$K$4*A54+$L$4</f>
        <v>5.3551325271806744E-3</v>
      </c>
      <c r="R54">
        <f>$K$5*A54+$L$5</f>
        <v>14.851729260804317</v>
      </c>
      <c r="S54">
        <f>$K$6*A54+$L$6</f>
        <v>88598390298.750061</v>
      </c>
      <c r="T54">
        <f>$K$7*A54+$L$7</f>
        <v>0.33907550229653616</v>
      </c>
      <c r="U54">
        <f>$K$8*A54+$L$8</f>
        <v>676.44425745275646</v>
      </c>
    </row>
    <row r="55" spans="1:21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  <c r="L55" s="1"/>
      <c r="P55">
        <f>$K$3*A55+$L$3</f>
        <v>4349.434454916076</v>
      </c>
      <c r="Q55">
        <f>$K$4*A55+$L$4</f>
        <v>5.4628694255824811E-3</v>
      </c>
      <c r="R55">
        <f>$K$5*A55+$L$5</f>
        <v>15.029524162641151</v>
      </c>
      <c r="S55">
        <f>$K$6*A55+$L$6</f>
        <v>88062232249.56041</v>
      </c>
      <c r="T55">
        <f>$K$7*A55+$L$7</f>
        <v>0.33949068546915284</v>
      </c>
      <c r="U55">
        <f>$K$8*A55+$L$8</f>
        <v>678.71722363377626</v>
      </c>
    </row>
    <row r="56" spans="1:21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  <c r="L56" s="1"/>
      <c r="P56">
        <f>$K$3*A56+$L$3</f>
        <v>4348.0337185201142</v>
      </c>
      <c r="Q56">
        <f>$K$4*A56+$L$4</f>
        <v>5.5706063239842878E-3</v>
      </c>
      <c r="R56">
        <f>$K$5*A56+$L$5</f>
        <v>15.207319064477984</v>
      </c>
      <c r="S56">
        <f>$K$6*A56+$L$6</f>
        <v>87526074200.370758</v>
      </c>
      <c r="T56">
        <f>$K$7*A56+$L$7</f>
        <v>0.33990586864176953</v>
      </c>
      <c r="U56">
        <f>$K$8*A56+$L$8</f>
        <v>680.99018981479605</v>
      </c>
    </row>
    <row r="57" spans="1:21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  <c r="L57" s="1"/>
      <c r="P57">
        <f>$K$3*A57+$L$3</f>
        <v>4346.6329821241516</v>
      </c>
      <c r="Q57">
        <f>$K$4*A57+$L$4</f>
        <v>5.6783432223860945E-3</v>
      </c>
      <c r="R57">
        <f>$K$5*A57+$L$5</f>
        <v>15.385113966314817</v>
      </c>
      <c r="S57">
        <f>$K$6*A57+$L$6</f>
        <v>86989916151.181091</v>
      </c>
      <c r="T57">
        <f>$K$7*A57+$L$7</f>
        <v>0.34032105181438627</v>
      </c>
      <c r="U57">
        <f>$K$8*A57+$L$8</f>
        <v>683.26315599581585</v>
      </c>
    </row>
    <row r="58" spans="1:21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  <c r="L58" s="1"/>
      <c r="P58">
        <f>$K$3*A58+$L$3</f>
        <v>4345.2322457281889</v>
      </c>
      <c r="Q58">
        <f>$K$4*A58+$L$4</f>
        <v>5.786080120787903E-3</v>
      </c>
      <c r="R58">
        <f>$K$5*A58+$L$5</f>
        <v>15.56290886815165</v>
      </c>
      <c r="S58">
        <f>$K$6*A58+$L$6</f>
        <v>86453758101.991425</v>
      </c>
      <c r="T58">
        <f>$K$7*A58+$L$7</f>
        <v>0.34073623498700295</v>
      </c>
      <c r="U58">
        <f>$K$8*A58+$L$8</f>
        <v>685.53612217683553</v>
      </c>
    </row>
    <row r="59" spans="1:21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  <c r="L59" s="1"/>
      <c r="P59">
        <f>$K$3*A59+$L$3</f>
        <v>4343.8315093322271</v>
      </c>
      <c r="Q59">
        <f>$K$4*A59+$L$4</f>
        <v>5.8938170191897097E-3</v>
      </c>
      <c r="R59">
        <f>$K$5*A59+$L$5</f>
        <v>15.740703769988484</v>
      </c>
      <c r="S59">
        <f>$K$6*A59+$L$6</f>
        <v>85917600052.801773</v>
      </c>
      <c r="T59">
        <f>$K$7*A59+$L$7</f>
        <v>0.34115141815961969</v>
      </c>
      <c r="U59">
        <f>$K$8*A59+$L$8</f>
        <v>687.80908835785544</v>
      </c>
    </row>
    <row r="60" spans="1:21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  <c r="L60" s="1"/>
      <c r="P60">
        <f>$K$3*A60+$L$3</f>
        <v>4342.4307729362645</v>
      </c>
      <c r="Q60">
        <f>$K$4*A60+$L$4</f>
        <v>6.0015539175915164E-3</v>
      </c>
      <c r="R60">
        <f>$K$5*A60+$L$5</f>
        <v>15.918498671825315</v>
      </c>
      <c r="S60">
        <f>$K$6*A60+$L$6</f>
        <v>85381442003.612106</v>
      </c>
      <c r="T60">
        <f>$K$7*A60+$L$7</f>
        <v>0.34156660133223637</v>
      </c>
      <c r="U60">
        <f>$K$8*A60+$L$8</f>
        <v>690.08205453887513</v>
      </c>
    </row>
    <row r="61" spans="1:21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  <c r="L61" s="1"/>
      <c r="P61">
        <f>$K$3*A61+$L$3</f>
        <v>4341.0300365403027</v>
      </c>
      <c r="Q61">
        <f>$K$4*A61+$L$4</f>
        <v>6.1092908159933231E-3</v>
      </c>
      <c r="R61">
        <f>$K$5*A61+$L$5</f>
        <v>16.096293573662148</v>
      </c>
      <c r="S61">
        <f>$K$6*A61+$L$6</f>
        <v>84845283954.422455</v>
      </c>
      <c r="T61">
        <f>$K$7*A61+$L$7</f>
        <v>0.34198178450485306</v>
      </c>
      <c r="U61">
        <f>$K$8*A61+$L$8</f>
        <v>692.35502071989492</v>
      </c>
    </row>
    <row r="62" spans="1:21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  <c r="L62" s="1"/>
      <c r="P62">
        <f>$K$3*A62+$L$3</f>
        <v>4339.62930014434</v>
      </c>
      <c r="Q62">
        <f>$K$4*A62+$L$4</f>
        <v>6.2170277143951316E-3</v>
      </c>
      <c r="R62">
        <f>$K$5*A62+$L$5</f>
        <v>16.274088475498981</v>
      </c>
      <c r="S62">
        <f>$K$6*A62+$L$6</f>
        <v>84309125905.232788</v>
      </c>
      <c r="T62">
        <f>$K$7*A62+$L$7</f>
        <v>0.3423969676774698</v>
      </c>
      <c r="U62">
        <f>$K$8*A62+$L$8</f>
        <v>694.62798690091472</v>
      </c>
    </row>
    <row r="63" spans="1:21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  <c r="L63" s="1"/>
      <c r="P63">
        <f>$K$3*A63+$L$3</f>
        <v>4338.2285637483783</v>
      </c>
      <c r="Q63">
        <f>$K$4*A63+$L$4</f>
        <v>6.3247646127969383E-3</v>
      </c>
      <c r="R63">
        <f>$K$5*A63+$L$5</f>
        <v>16.451883377335818</v>
      </c>
      <c r="S63">
        <f>$K$6*A63+$L$6</f>
        <v>83772967856.043121</v>
      </c>
      <c r="T63">
        <f>$K$7*A63+$L$7</f>
        <v>0.34281215085008648</v>
      </c>
      <c r="U63">
        <f>$K$8*A63+$L$8</f>
        <v>696.90095308193452</v>
      </c>
    </row>
    <row r="64" spans="1:21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  <c r="L64" s="1"/>
      <c r="P64">
        <f>$K$3*A64+$L$3</f>
        <v>4336.8278273524156</v>
      </c>
      <c r="Q64">
        <f>$K$4*A64+$L$4</f>
        <v>6.432501511198745E-3</v>
      </c>
      <c r="R64">
        <f>$K$5*A64+$L$5</f>
        <v>16.629678279172651</v>
      </c>
      <c r="S64">
        <f>$K$6*A64+$L$6</f>
        <v>83236809806.85347</v>
      </c>
      <c r="T64">
        <f>$K$7*A64+$L$7</f>
        <v>0.34322733402270322</v>
      </c>
      <c r="U64">
        <f>$K$8*A64+$L$8</f>
        <v>699.17391926295431</v>
      </c>
    </row>
    <row r="65" spans="1:21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  <c r="L65" s="1"/>
      <c r="P65">
        <f>$K$3*A65+$L$3</f>
        <v>4335.427090956453</v>
      </c>
      <c r="Q65">
        <f>$K$4*A65+$L$4</f>
        <v>6.5402384096005517E-3</v>
      </c>
      <c r="R65">
        <f>$K$5*A65+$L$5</f>
        <v>16.807473181009485</v>
      </c>
      <c r="S65">
        <f>$K$6*A65+$L$6</f>
        <v>82700651757.663818</v>
      </c>
      <c r="T65">
        <f>$K$7*A65+$L$7</f>
        <v>0.34364251719531991</v>
      </c>
      <c r="U65">
        <f>$K$8*A65+$L$8</f>
        <v>701.44688544397411</v>
      </c>
    </row>
    <row r="66" spans="1:21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  <c r="L66" s="1"/>
      <c r="P66">
        <f>$K$3*A66+$L$3</f>
        <v>4334.0263545604912</v>
      </c>
      <c r="Q66">
        <f>$K$4*A66+$L$4</f>
        <v>6.6479753080023601E-3</v>
      </c>
      <c r="R66">
        <f>$K$5*A66+$L$5</f>
        <v>16.985268082846318</v>
      </c>
      <c r="S66">
        <f>$K$6*A66+$L$6</f>
        <v>82164493708.474152</v>
      </c>
      <c r="T66">
        <f>$K$7*A66+$L$7</f>
        <v>0.34405770036793659</v>
      </c>
      <c r="U66">
        <f>$K$8*A66+$L$8</f>
        <v>703.71985162499391</v>
      </c>
    </row>
    <row r="67" spans="1:21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  <c r="L67" s="1"/>
      <c r="P67">
        <f>$K$3*A67+$L$3</f>
        <v>4332.6256181645285</v>
      </c>
      <c r="Q67">
        <f>$K$4*A67+$L$4</f>
        <v>6.7557122064041669E-3</v>
      </c>
      <c r="R67">
        <f>$K$5*A67+$L$5</f>
        <v>17.163062984683144</v>
      </c>
      <c r="S67">
        <f>$K$6*A67+$L$6</f>
        <v>81628335659.284485</v>
      </c>
      <c r="T67">
        <f>$K$7*A67+$L$7</f>
        <v>0.34447288354055333</v>
      </c>
      <c r="U67">
        <f>$K$8*A67+$L$8</f>
        <v>705.9928178060137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SI_Units</vt:lpstr>
      <vt:lpstr>SI_Units (2)</vt:lpstr>
      <vt:lpstr>SI_Units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STYGER</dc:creator>
  <cp:lastModifiedBy>GARY STYGER</cp:lastModifiedBy>
  <dcterms:created xsi:type="dcterms:W3CDTF">2026-03-10T16:12:21Z</dcterms:created>
  <dcterms:modified xsi:type="dcterms:W3CDTF">2026-03-15T05:43:32Z</dcterms:modified>
</cp:coreProperties>
</file>